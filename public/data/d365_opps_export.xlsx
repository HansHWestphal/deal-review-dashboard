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ns\Downloads\"/>
    </mc:Choice>
  </mc:AlternateContent>
  <xr:revisionPtr revIDLastSave="0" documentId="13_ncr:1_{ACDBC4EC-E1DB-4B7B-B85B-CE05B26A1773}" xr6:coauthVersionLast="47" xr6:coauthVersionMax="47" xr10:uidLastSave="{00000000-0000-0000-0000-000000000000}"/>
  <bookViews>
    <workbookView xWindow="-103" yWindow="-103" windowWidth="22149" windowHeight="13200" xr2:uid="{00000000-000D-0000-FFFF-FFFF00000000}"/>
  </bookViews>
  <sheets>
    <sheet name="Hans FY27 Opp Tracker"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1" i="1" l="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<sst xmlns="http://schemas.openxmlformats.org/spreadsheetml/2006/main" count="608" uniqueCount="393">
  <si>
    <t>(Do Not Modify) Opportunity</t>
  </si>
  <si>
    <t>(Do Not Modify) Row Checksum</t>
  </si>
  <si>
    <t>(Do Not Modify) Modified On</t>
  </si>
  <si>
    <t>Opportunity Name</t>
  </si>
  <si>
    <t>Account</t>
  </si>
  <si>
    <t>Description</t>
  </si>
  <si>
    <t>Next Step</t>
  </si>
  <si>
    <t>Next Step Due Date</t>
  </si>
  <si>
    <t>Close Date</t>
  </si>
  <si>
    <t>Estimated Revenue (TCV)</t>
  </si>
  <si>
    <t>Timeline</t>
  </si>
  <si>
    <t>Contact</t>
  </si>
  <si>
    <t>Rating</t>
  </si>
  <si>
    <t>Sales Stage</t>
  </si>
  <si>
    <t>Created On</t>
  </si>
  <si>
    <t>Modified On</t>
  </si>
  <si>
    <t>Product</t>
  </si>
  <si>
    <t>Forecast Category</t>
  </si>
  <si>
    <t>Actual Revenue</t>
  </si>
  <si>
    <t>62fc5267-4803-4f6d-b4bb-1a40baf2ca2a</t>
  </si>
  <si>
    <t>JBbabsISzduNiAAWDraGsuuBkzO1ARwYjFPHhu1iwvlxRFq8Lw3awkCXrLejgjvJE9FigxYOzCBuvfnWKX5Mcw==</t>
  </si>
  <si>
    <t>Contoso Financial - Dynamics Modernization #001</t>
  </si>
  <si>
    <t>Contoso Financial</t>
  </si>
  <si>
    <t>D365 CE 8.2 to 9.1 Onprem migration</t>
  </si>
  <si>
    <t>Waiting on SOW signature sync meeting on Tuesday 3-24</t>
  </si>
  <si>
    <t>Alex Chen</t>
  </si>
  <si>
    <t>Warm</t>
  </si>
  <si>
    <t>Close</t>
  </si>
  <si>
    <t>Dynamics</t>
  </si>
  <si>
    <t>90% - Committed</t>
  </si>
  <si>
    <t>6e031790-9d58-406f-bb46-ccf68e13fed1</t>
  </si>
  <si>
    <t>Bs4UyDFY1KS2oARnTYGg0iM+oYvKl4NxOlFRcx5RLDoiOJYXw0T5ja+/TOPjU1YQbvq42/Ci39MsudlGEMK0oQ==</t>
  </si>
  <si>
    <t>Contoso Financial - CoPilot Migration #002</t>
  </si>
  <si>
    <t>Contoso Financial' Engineering team does not have expertise in managing and Governing D365 environments to support the 2 important LOB projects in US Wealth and FCU.</t>
  </si>
  <si>
    <t>Jordan Chen</t>
  </si>
  <si>
    <t>CoPilot</t>
  </si>
  <si>
    <t>250ff789-8847-4b3e-8c90-85adf95687e4</t>
  </si>
  <si>
    <t>iTRjEW2qf/g8kxhy95Wj5LAZjK0PJETHEMWIwqTX0zEX8ihdFwd7dzlEb389uTYLoPrriyKEfycr4k2+00vcrg==</t>
  </si>
  <si>
    <t>Northwind Digital - Workstream Enablement #003</t>
  </si>
  <si>
    <t>Northwind Digital</t>
  </si>
  <si>
    <t>Contoso Technology Technologies, a Calgary-based leader in interactive collaboration solutions, is embarking on a transformative CRM migration project. The initiative, sponsored by Microsoft, involves transitioning from Salesforce, HubSpot, and CPQ systems to Dynamics 365 (D365) Sales and Customer Service, with the integration of Expert Logics ISV add-ons for advanced CPQ capabilities. The project is valued at $3.1M, with a targeted nine-month deployment and a go-live deadline in June. Avanade was initially quoted, but the CIO has requested Microsoft to identify an alternative partner, emphasizing the strategic importance of this migration. The budget is set at $1.5M, with $1.8M in ECIF funding available for two years, and annual licensing costs of $900K. Contoso Technology Technologies, a subsidiary of Foxconn, operates globally with a workforce of 600–1,000 employees and a mission to enable meaningful connections through AI-powered interactivity. The migration aims to unify sales, marketing, and support operations, streamline workflows, and enhance customer engagement. By leveraging D365’s advanced automation, analytics, and integration capabilities, Contoso Technology Technologies seeks to modernize its CRM landscape, drive operational efficiency, and support its growth in the education and enterprise sectors. This opportunity represents a pivotal step in Contoso Technology’s digital transformation journey, positioning the company to better serve its high-profile clients and maintain market leadership in interactive technology.</t>
  </si>
  <si>
    <t>Meeting Wednesday with Contoso Technology and MSFT to review proposal / Board meeting this week.</t>
  </si>
  <si>
    <t>Taylor Chen</t>
  </si>
  <si>
    <t>70% - Most Likely</t>
  </si>
  <si>
    <t>98b754ec-3e31-4e30-9516-502ae258e392</t>
  </si>
  <si>
    <t>In0taWlKaVMiMdHngXLWXh86ixNFzzR40K6xy+oxgFabrikam Financial2RYN2KIlCITkJva9MzMd5Nb+HVCm7FjqnEIOQEe54qw==</t>
  </si>
  <si>
    <t>Northwind Medical - Power Apps Governance #004</t>
  </si>
  <si>
    <t>Northwind Medical</t>
  </si>
  <si>
    <t>ServiceNow Triaging Copilot Studio Agent.</t>
  </si>
  <si>
    <t>Waiting on Northwestern for SOW and MSA to be completed.</t>
  </si>
  <si>
    <t>Casey Chen</t>
  </si>
  <si>
    <t>Power Apps</t>
  </si>
  <si>
    <t>53ba6ef6-fc86-4fdd-a268-e43035996f5c</t>
  </si>
  <si>
    <t>tzs4od+SRLM/2OMYnUL3TzVrkcR0+g7VClxqb3QJBc5KHnnXdcgxYxYS6eXg3s9JsahTPX0GuK6x0gKjmtHGIw==</t>
  </si>
  <si>
    <t>Fabrikam Government Services - Workstream AI Pilot #005</t>
  </si>
  <si>
    <t>Fabrikam Government Services</t>
  </si>
  <si>
    <t>Context on what Public Safety is looking for (we want to keep this straight forward and not overcomplicate things): Code review or code audit services for solutions built on Microsoft technologies, specifically for environments leveraging MS Dynamics, Power Apps, Power Platform components, and associated custom development of plugins. PS’s goal is to validate the quality, robustness, and gather lessons learned on the Phase 2 implementation and to ensure we are following recommended architectural and development practices. Provide more information on : Scope of services offered
Requirements and materials needed to support an audit
Estimated timelines and effort
Cost structure and contracting options within the Government of Canada (i.e. portion that can be financed via Microsoft + others)</t>
  </si>
  <si>
    <t>Walk through Draft SOW with Microsoft Team Tuesday.</t>
  </si>
  <si>
    <t>40% - Best Case</t>
  </si>
  <si>
    <t>cad2661d-fb29-47e6-b9b7-af66a342b3ec</t>
  </si>
  <si>
    <t>MeD9y0Hgc8m79MXHbaozqtefuHjft4W0XXHxRpfb3ccV4T6OF4F7dUlpb4HkBZmR2wWKCW+8ySOO2tc+yNdRHQ==</t>
  </si>
  <si>
    <t>Contoso Financial - Dynamics Automation #006</t>
  </si>
  <si>
    <t>exploring potential solutions to multiple inboxes receiving requests from internal and external stakeholders &amp; They receive three types of requests from to their inboxes.
1.	External emails from other FI’s, customers and law enforcement
2.	Internal to Contoso Financial a.	External to EFM (i.e. contact center, branch, RM,…) to complete the feedback loop on a case or advise of an event
b.	Internal to EFM (i.e. hand-offs from one team or Fraud pillar to another) They are looking for a solution to
1.	Convert external emails to a ticket/case that can be queued and worked.
2.	Provide a power app form for internal to Contoso Financial partners to create a ticket that can be queued and worked by EFM a.	Internal tickets can have account fields that we can use in conjunction with our fraud book of record to create efficiency.</t>
  </si>
  <si>
    <t>Meeting with Engineering and Fraud meeting to discuss working parallel on requirements while governance work is in progress.</t>
  </si>
  <si>
    <t>Morgan Chen</t>
  </si>
  <si>
    <t>699cd9d2-2925-4e5a-a8df-86781b852c58</t>
  </si>
  <si>
    <t>/IXm2j9Qs5DzR0YUEvfWw8cGGZNa5nyiZ068kC1ht417XC8XUzMoj6pkf8tyrM9NbptTmnet4wcstfVY+LXMbw==</t>
  </si>
  <si>
    <t>Adatum Manufacturing - Dynamics Contact Center Upgrade #007</t>
  </si>
  <si>
    <t>Adatum Manufacturing</t>
  </si>
  <si>
    <t>Volcano Manufacturing faces Project Online retirement in 2026, with potential disruption to current license spend. Modernizing with Planner Premium and D365 Project Operations provides integrated governance and AI‑enabled project/portfolio capabilities.</t>
  </si>
  <si>
    <t>Presented Pricing and licensing Waiting on Volcano Manufacturing for feedback.</t>
  </si>
  <si>
    <t>Develop</t>
  </si>
  <si>
    <t>130ea8e8-3432-418e-adcc-7bd01079928a</t>
  </si>
  <si>
    <t>gVUf/rGfeNpdo+EISXXjO7pBWdKw7ewOuz4N21XGCEgFQOvq4/UoS9xiL29XXHOpLO9TIL2omY4NskiBk42tyA==</t>
  </si>
  <si>
    <t>City Power &amp; Light - Workstream Project Ops Transition #008</t>
  </si>
  <si>
    <t>City Power &amp; Light</t>
  </si>
  <si>
    <t>Book discovery call</t>
  </si>
  <si>
    <t>Qualify</t>
  </si>
  <si>
    <t>0% - Qualifying</t>
  </si>
  <si>
    <t>665cab0b-cc1a-4579-a695-241b1a6cc16b</t>
  </si>
  <si>
    <t>J1j/atKjY9C6MTtSvry+Kr0flFVbddAFCiksG2lgDReAdYTF2orsuBWSX7IOlj12jCWRt3gbSSl6JI/manhEgA==</t>
  </si>
  <si>
    <t>Adatum Manufacturing - Workstream Digital Front Door #009</t>
  </si>
  <si>
    <t>Project Operation Quick Start opp for Montreal Project managers currently using Project Desktop.</t>
  </si>
  <si>
    <t>Check point meeting with Microsoft team this week.</t>
  </si>
  <si>
    <t>10% - Pipeline</t>
  </si>
  <si>
    <t>bc33902c-bd65-47d8-812a-51f070a4d5f7</t>
  </si>
  <si>
    <t>SlbhfjRMN3LCAY0qaZuKYTfJHz1y5S9NsAEHrzQzWqGwOXGbUcCfXMRprvWgOXAWbAe0V4KiNR5xBcVW4+w+9g==</t>
  </si>
  <si>
    <t>Adatum Manufacturing - Workstream Process Mining Quick Start #010</t>
  </si>
  <si>
    <t>Volcano Manufacturing Brazil is evaluating a move from Project Online to Dynamics 365 Project Operations to modernize project visibility, reporting, and governance for complex, custom-engineered projects currently managed through Excel-heavy processes.</t>
  </si>
  <si>
    <t>Sync with Microsoft Team and present Proposal and demo to Volcano Manufacturing team.</t>
  </si>
  <si>
    <t>Propose</t>
  </si>
  <si>
    <t>6cd0b6a1-2e37-4846-8e05-910ee6cc0644</t>
  </si>
  <si>
    <t>+E8ZdcUNEESbiqFabrikam FinancialbPEb+IJddkMgOFzHNBLaQo0dhreFVfzJ+1oJc0jDprx8n7FFU/VJFP4TrRiAJXByXvMQ5w==</t>
  </si>
  <si>
    <t>Fabrikam Industrial - Workstream RPA Consolidation #011</t>
  </si>
  <si>
    <t>Fabrikam Industrial</t>
  </si>
  <si>
    <t>Confirm scope complete vendor onboarding.</t>
  </si>
  <si>
    <t>Riley Chen</t>
  </si>
  <si>
    <t>ee306eb9-b197-48f1-9e4e-5256ff87de38</t>
  </si>
  <si>
    <t>MNq7uF4sU04EZATP0btHlHEdAowp+0Atl6mUdt8SS9s7hv8E/lUuwhWtJX5quS64CebNqUKmnW5M0ARP60+XoA==</t>
  </si>
  <si>
    <t>Fabrikam - Workstream Agent Accelerator #012</t>
  </si>
  <si>
    <t>Fabrikam</t>
  </si>
  <si>
    <t>Fabrikam faces Project Online retirement in 2026, creating risk around current project management investments. This is a strategic opportunity to modernize with AI-enabled tools and integrated governance through Microsoft Planner Premium and Dynamics 365 Project Operations.</t>
  </si>
  <si>
    <t>Meeting with Fabrikam to review SOW, MSA and Data processing document this week.</t>
  </si>
  <si>
    <t>b993fec2-2725-43df-8453-b70503193272</t>
  </si>
  <si>
    <t>fXP1oJ0knhULuurBmVpyahJkccn7OacKcNzwLa0udn5ehi8wz8hxVNgEHamIif8kofB9reydeBqX79gs699vlg==</t>
  </si>
  <si>
    <t>Volcano Manufacturing - Workstream Code Review #013</t>
  </si>
  <si>
    <t>Volcano Manufacturing</t>
  </si>
  <si>
    <t>ATS faces Project Online retirement in 2026, creating risk around current project management investments. This is a strategic opportunity to modernize with AI-enabled tools and integrated governance through Microsoft Planner Premium and Dynamics 365 Project Operations.</t>
  </si>
  <si>
    <t>Ali Manek new rep from Salesforce just joined to qualify the opportunity with ATS</t>
  </si>
  <si>
    <t>88a99bee-ff86-4204-878e-f49d44661447</t>
  </si>
  <si>
    <t>Dulb/T9swJSiF3FyonXMWCWmyZzWPEaXUe90S3h51gXRl8gm+CJk9UwzDGvwPHh7TlyUd/pVYchY/qAQFMstFQ==</t>
  </si>
  <si>
    <t>Tailspin Retail Group - CoPilot Managed Services #014</t>
  </si>
  <si>
    <t>Tailspin Retail Group</t>
  </si>
  <si>
    <t>Northwind Traders is pursuing a unified, mobile‑first digital front door using Teams and Copilot Studio to streamline frontline workflows, improve knowledge access, and modernize operational communications across 200,000 colleagues.</t>
  </si>
  <si>
    <t>Technical deep dive with Northwind Traders team.</t>
  </si>
  <si>
    <t>Cameron Chen</t>
  </si>
  <si>
    <t>29171bc2-51c5-41af-a9a8-1dbd2dedb21c</t>
  </si>
  <si>
    <t>IGTwcAFlFfCbiTgpB8VckvCL0Ir0mTZ5urS+zl2EWERVdSr0r7ThVOdphYtcyUqFTguL2V+AXHAf29hIiF6IBQ==</t>
  </si>
  <si>
    <t>Woodgrove Utilities - Workstream Modernization #015</t>
  </si>
  <si>
    <t>Woodgrove Utilities</t>
  </si>
  <si>
    <t>Client: Vistra Opportunity Type: Advisory + Enablement (Power Platform &amp; Copilot) Drivers: Rapid business-led adoption, need for scalable governance, executive sponsorship Requested Support:
Governance design (Power Platform &amp; Copilot)
Enablement model refinement and scaling
Optional process intelligence positioning
Engagement Shape:
Short, focused advisory engagement
Two parallel streams (Governance + Enablement)
Strong alignment with both IT and business stakeholders</t>
  </si>
  <si>
    <t>Client meeting to discuss enablement and governance proposal</t>
  </si>
  <si>
    <t>9612b8b5-d4e3-4f8a-b12f-8fb6e113e68f</t>
  </si>
  <si>
    <t>Xbf2ikJd5yPgn1tNDVDVjbUz0VCpnssbWz9+qj7tF6wBi24e8O/+RzZ6bj7668+ozqb0uqxRHLolqFLw/xTGxA==</t>
  </si>
  <si>
    <t>Contoso Financial 7 - Workstream Migration #016</t>
  </si>
  <si>
    <t>Contoso Financial 7</t>
  </si>
  <si>
    <t>Contoso Financial 7 faces Project Online retirement in 2026, risking disruption to $500K annual license spend. This is a strategic opportunity to modernize project management with AI-enabled tools and integrated governance through Microsoft Planner Premium and Dynamics 365 Project Operations.</t>
  </si>
  <si>
    <t>Check in meeting with Microsoft Rep Lydia to track progress .</t>
  </si>
  <si>
    <t>7a4b0417-12ed-4c4a-9d3c-679247e7bbf5</t>
  </si>
  <si>
    <t>bcej+dlN7zr8V4g8id6TCZHBKSS6zwqO0Uz7i0bD9F5bPVlPwRlt1KXIxHWHkenOlQ2V9rQDMFF6qOYz+jbx8w==</t>
  </si>
  <si>
    <t>Volcano Manufacturing 5 - Workstream Enablement #017</t>
  </si>
  <si>
    <t>Volcano Manufacturing 5</t>
  </si>
  <si>
    <t>Textron faces the 2026 retirement of Project Online, creating risk to project/portfolio continuity and compliance. The migration is a timely opportunity to modernize with Planner Premium and D365 Project Operations and adopt AI‑assisted governance.</t>
  </si>
  <si>
    <t>Microsoft influencing no RFP -- standing by for intro. Microsoft to present ECIF in 2 weeks and proposal.</t>
  </si>
  <si>
    <t>73fd0bf3-b43e-467d-8f24-f99020c85601</t>
  </si>
  <si>
    <t>I/XQ55zthkFjQ8v9KI2g7218Qi7pvCMqWPd8iClDfwvpBX5MW4Vib2bZKPgwUwz+XFLLJhn2ROSJHEcXccakvw==</t>
  </si>
  <si>
    <t>Contoso Financial 2 - Workstream Governance #018</t>
  </si>
  <si>
    <t>Contoso Financial 2</t>
  </si>
  <si>
    <t>Migration planning from UiPath to Microsoft Power Automate Desktop for LifeLabs, leveraging proprietary migration tool to streamline bot conversion and reduce manual effort.
2. Opportunity Current Situation</t>
  </si>
  <si>
    <t>Meeting with Lifelabs this week to review Complexity report.</t>
  </si>
  <si>
    <t>Avery Chen</t>
  </si>
  <si>
    <t>03e47629-5ec8-4e74-ae76-c2d1e39cf5df</t>
  </si>
  <si>
    <t>seywHcnm04TlHjR48bngUFVGqQVUm6LFbM/oVe6hYqlDLARpbQioXwxK5OKx9y4YhvSSvJ2aLb+qHkdhxJwwQw==</t>
  </si>
  <si>
    <t>Contoso Health - Workstream AI Pilot #019</t>
  </si>
  <si>
    <t>Contoso Health</t>
  </si>
  <si>
    <t>Alithya's workshop delivered Power CAT Workshops to enterprise customers, focusing on enhancing digital presence and customer engagement through AI and Power Platform solutions. This presents a significant opportunity to showcase Alithya's expertise and drive business growth</t>
  </si>
  <si>
    <t>Refine proposal with Digital Adoption and review with client next week.</t>
  </si>
  <si>
    <t>662017d1-d3db-4555-bca5-8cbccb568d44</t>
  </si>
  <si>
    <t>lVIrCFkQbR/uClER0szD1B1PVOQWpD0nJlEqvyCH5C2qaAFejyZxmUIfTbhDTOPf5AR3C9GKSTKsac9HSl9xTw==</t>
  </si>
  <si>
    <t>Contoso Financial 5 - Workstream Automation #020</t>
  </si>
  <si>
    <t>Contoso Financial 5</t>
  </si>
  <si>
    <t>Tangerine is evaluating D365 Sales Premium to replace manual Excel‑based sales processes. Initial rollout for 30 users with scale to 250. Seeking rapid deployment and enablement supported by Alithya under existing MSA.</t>
  </si>
  <si>
    <t>Tangerine confirming funding.</t>
  </si>
  <si>
    <t>57a4fd91-a1a7-45b7-8a21-dfbaafc1deec</t>
  </si>
  <si>
    <t>JJXSfwqTMIA+4wZve3fWJPkIM+8bVJEDlYSdLNK8yjqSCoBH0hm/IX8emQTxCXutyLEk+D5qMB8vu+lLodaegQ==</t>
  </si>
  <si>
    <t>Adatum Solutions - Workstream Contact Center Upgrade #021</t>
  </si>
  <si>
    <t>Adatum Solutions</t>
  </si>
  <si>
    <t>Qty of Proj Online Essentials is 346, and P3 (which includes Planner &amp; Proj Online) is 360. We'll get you going with an NDA for them, so that you can learn more and see reverse demo.</t>
  </si>
  <si>
    <t>STEP 3 – Migration Options Review Session
Tailored Recommendation Report: Presentation providing suggested solution and how it meeting your specific needs. Proposed Migration Plan Review: Proposed project plan, including schedule, proposed licensing and services required.
Session Outcome - A clear action plan to kick off the migration with a tentative start date.</t>
  </si>
  <si>
    <t>30127fc7-a566-46be-8278-da071be1ae41</t>
  </si>
  <si>
    <t>dtvCakJ/JDMbtUPd3RrbzVgKbQbx6yS3dHWaFUEOLr0QtnHTNACNIQPeD29LVK4fSWg5kUW9dO3v3bMUPK/HZQ==</t>
  </si>
  <si>
    <t>Volcano Manufacturing 2 - Workstream Project Ops Transition #022</t>
  </si>
  <si>
    <t>Volcano Manufacturing 2</t>
  </si>
  <si>
    <t>Johnson Controls faces Project Online retirement in 2026, risking disruption to their annual Project Online license spend. This is a strategic opportunity to modernize project management with AI-enabled tools and integrated governance through Microsoft Planner Premium and Dynamics 365 Project Operations.</t>
  </si>
  <si>
    <t>Standing by from Microsoft to engage</t>
  </si>
  <si>
    <t>6be598a1-499b-418f-b590-3044b7f295c4</t>
  </si>
  <si>
    <t>orQkghN4sanFGlFQzLmj9Aq/YYU4ilRJnjPV9cY+wOxEQ8l/DjFdBgvO0Jh6dSGO5PzwJWMxTKJaPz7XnRccGw==</t>
  </si>
  <si>
    <t>Contoso - Workstream Digital Front Door #023</t>
  </si>
  <si>
    <t>Contoso</t>
  </si>
  <si>
    <t>Contoso faces Project Online retirement in 2026, creating risk around current project management investments. This is a strategic opportunity to modernize with AI-enabled tools and integrated governance through Microsoft Planner Premium and Dynamics 365 Project Operations.</t>
  </si>
  <si>
    <t>Reached out to AE from Microsoft to confirm opp and AI Business Solutions seller.</t>
  </si>
  <si>
    <t>b4a4a486-38c2-4945-ad2b-d767e2e69050</t>
  </si>
  <si>
    <t>/rSqAX/5WvfjCH0qqT6WmKqzdC4fnNruEucCvdKY6s27yZxuFVKmd8qPYaLlQebI0qbT2JPzkARpKN+paNzwGw==</t>
  </si>
  <si>
    <t>Northwind Traders - Power Automate Process Mining Quick Start #024</t>
  </si>
  <si>
    <t>Northwind Traders</t>
  </si>
  <si>
    <t>Home Hardware has a significant opportunity to enhance its dealer support operations by implementing process intelligence and automation. By leveraging Microsoft’s Power Platform and AI technologies, the company aims to transform its support model from reactive to proactive, improving resolution times, preventing bottlenecks, and enhancing the overall support experience for its independent dealers</t>
  </si>
  <si>
    <t>Need SOW like Northwestern for Home Hardware -- Copy paste.</t>
  </si>
  <si>
    <t>Quinn Chen</t>
  </si>
  <si>
    <t>Power Automate</t>
  </si>
  <si>
    <t>b5cf562d-ae2e-46d2-b4ab-89311c11897c</t>
  </si>
  <si>
    <t>5q2HdvpXjjsSB5FVEYTgh1av4MNS2iObA8Ln7tsjJN7vxtvADDtlmqD9M0pVSp5pJttvHoWGyl/ySC3twJsGbQ==</t>
  </si>
  <si>
    <t>Fabrikam Tech - Workstream RPA Consolidation #025</t>
  </si>
  <si>
    <t>Fabrikam Tech</t>
  </si>
  <si>
    <t>Moneris is looking for a replacement system for a home built Integrated Solutions Tracking application. This application is used for the onboarding of a new client and configurtation and distribution of a device/integration channel for this client.</t>
  </si>
  <si>
    <t>Waiting on Moneris given the org changes for this application Re platform decision.</t>
  </si>
  <si>
    <t>Parker Chen</t>
  </si>
  <si>
    <t>7424440b-0c26-4f51-a6bb-cfa13d3b0221</t>
  </si>
  <si>
    <t>298pRgiWMnTOsvCH4WlyP3L/yESV55U8ReGc/rfK+r7+XELXhaYK0f5sivUVgfMa0amy4VEAChEIMbV5+c0smA==</t>
  </si>
  <si>
    <t>Fabrikam Government Services - Workstream Agent Accelerator #026</t>
  </si>
  <si>
    <t>This opportunity originated through Pascale Laroche at Microsoft and targets Fabrikam Government Services as they launch a time-sensitive pilot initiative for the Deputy Minister’s Office focused on modernizing departmental tasking. The customer’s current tasking workflow is spread across multiple disconnected tools and channels, including SharePoint lists, Planner, GC Docs, email, Excel files, and attachments. This fragmentation is contributing to inconsistent execution, loss of comments and context, limited auditability, and a high administrative burden in a process that must support senior leadership responsiveness. [Task Autom...initiative | Word], [TA 11 - 't...s 05012025 | PDF]
Public Safety established a Corporate Secretariat function to coordinate departmental taskings supporting multiple Deputy Ministers and Ministers, and the operating environment now requires a more unified, traceable, and scalable approach to intake, triage, assignment, drafting, review, packaging, and archiving. The opportunity is to help Public Safety move from manual, disconnected activities to a cohesive end-to-end task management capability, anchored by a centralized intake and tracking experience, workflow automation, stronger governance, and improved transparency for stakeholders. [TA 11 - 't...s 05012025 | PDF]
The engagement is expected to begin with a discovery phase to validate architecture and implementation path, assess the current SharePoint/Power Apps pilot and how it can evolve responsibly, and define workflow patterns that accommodate varying task types and multi-tier approvals (e.g., Director, DG, ADM, Deputy Minister). The target scale includes approximately ~500 task creators and up to ~2000 recipients, requiring careful attention to scalability, audit trails, and licensing implications</t>
  </si>
  <si>
    <t>Review Solution Design with Ram then schedule review meeting with Marco/Pascale from Microsoft</t>
  </si>
  <si>
    <t>b533ae4f-092d-4b66-b2c8-ebe2e785c091</t>
  </si>
  <si>
    <t>wuOXUdsXck+NcWHsfsrUJMnuTuqLuMTrYzQ7mXdJYCplf+YnUmrjSA2D0ZMcNVMnef+ldL7BkB1Fabrikam Financial1CK1vRpBQ==</t>
  </si>
  <si>
    <t>Volcano Manufacturing 2 - Workstream Code Review #027</t>
  </si>
  <si>
    <t>Copilot Studio Agent Accelerator proposal</t>
  </si>
  <si>
    <t>Meet with Champion manager in New Year to review the proposal for Process to Agent Accelerator.</t>
  </si>
  <si>
    <t>Reese Chen</t>
  </si>
  <si>
    <t>d59eb207-59a4-49a3-aef9-52da9d657d24</t>
  </si>
  <si>
    <t>XQe81DZwqg0R9uNtfTNVl9dIGISmTkOuOQyYzTL3xGQRFgbUUd1nUXYgA/ynoSiBy15rvOpSAOAnMevKJcPj2Q==</t>
  </si>
  <si>
    <t>Fabrikam Power - Workstream Managed Services #028</t>
  </si>
  <si>
    <t>Fabrikam Power</t>
  </si>
  <si>
    <t>The Fabrikam Power (IESO) is preparing to issue an RFP for the implementation of Microsoft Dynamics 365 Customer Service (D365 CS) in January. As Ontario’s Crown corporation responsible for managing the province’s electricity system and wholesale market, IESO is seeking to modernize its customer engagement and service delivery capabilities. The organization oversees real-time grid operations, market administration, and long-term planning, serving over 5.3 million consumers and handling $23 billion in annual transactions. With the ongoing Market Renewal Program (MRP) and increasing demand for transparency, efficiency, and reliability, IESO recognizes the need for a robust CRM platform to support its evolving business processes. This opportunity centers on delivering a scalable, secure, and integrated D365 CS solution that aligns with IESO’s strategic goals, regulatory requirements, and commitment to customer-centric service. The successful implementation will empower IESO to streamline case management, enhance stakeholder communications, and drive operational excellence across its enterprise.</t>
  </si>
  <si>
    <t>Follow up with Mokhtar on RFP release date.</t>
  </si>
  <si>
    <t>98677f17-ceef-4fdb-b069-4c808b0eaa0d</t>
  </si>
  <si>
    <t>+ySd49ZPmzzIyGI6Ot3XP/I4f6SVTTySSjzn8qAskGq2YUNIAuubDAq6zwEaLaVfaF4C7VmsFIZnib/keSsHGg==</t>
  </si>
  <si>
    <t>Contoso Financial - Workstream Modernization #029</t>
  </si>
  <si>
    <t>Contoso Financial is exploring AI-led modernization of its Contact Center to improve agent efficiency, reduce handle time, and enhance customer experience using Copilot and Azure AI capabilities aligned to enterprise banking needs.</t>
  </si>
  <si>
    <t>Follow up with Michael She now that Dataverse is unblocked.</t>
  </si>
  <si>
    <t>1e6ab70a-787e-4dc2-9716-80a90b1e52ba</t>
  </si>
  <si>
    <t>T55yZ81vwuzRbXuwlXpfGVQ4TtYsh/TXw3L6zMRGFOdhpWg95STF+kUnGVJukVHNQzxRlBHXi8cExrigssh5pA==</t>
  </si>
  <si>
    <t>Northwind Digital - Workstream Migration #030</t>
  </si>
  <si>
    <t>Check point meeting this week.</t>
  </si>
  <si>
    <t>a4ec0f43-d919-4dde-bcdb-f7ccc73eaf22</t>
  </si>
  <si>
    <t>JVV40zrBO4ljmLVSKhykg5k6jPcY2Ynb/0Nt1esEenb3Qb3IpzmVYn2KqK8la7qj1c7yP6LwNkT7a6YP0tzHIw==</t>
  </si>
  <si>
    <t>Woodgrove Health Systems - Workstream Enablement #031</t>
  </si>
  <si>
    <t>Woodgrove Health Systems</t>
  </si>
  <si>
    <t>6970b12f-285c-4129-b60b-120e93af5410</t>
  </si>
  <si>
    <t>vmCrmiC0iTuOsZZWBUEVXis2S4FF5cFabrikam FinancialCmeovNK/1lOa2xNv1I4kYc6R0y464IyvJzNGPL0YAEzRyvHKY1ro8g==</t>
  </si>
  <si>
    <t>Contoso Energy - Workstream Governance #032</t>
  </si>
  <si>
    <t>Contoso Energy</t>
  </si>
  <si>
    <t>Had blue prism did not work for them have Power Automate kind of working need foundational plus advance Power Automate workloads. Working with Tony Zettel and Ori Fishler and Chris Bain SSP from Microsoft</t>
  </si>
  <si>
    <t>Meet with Tony to discuss next steps.</t>
  </si>
  <si>
    <t>Drew Chen</t>
  </si>
  <si>
    <t>4d842f6c-8c98-44e7-8c3b-ca4da5a5919c</t>
  </si>
  <si>
    <t>r7wxxdx6D1SCIuN1H0ESidLe4vWbQjvZvK4/fcX2D6eyos0zcp/szUXlk42xfGCIOigrxMbjBqLYM40S+5DESQ==</t>
  </si>
  <si>
    <t>Contoso Financial 4 - Workstream AI Pilot #033</t>
  </si>
  <si>
    <t>Contoso Financial 4</t>
  </si>
  <si>
    <t>Power Platform COE Engagement
How do we build a better Governance framework.
Some issues with Default Environment. Power Pages POC
POC possible
Like to include their developers
Would be an externally facing site. Current priority is Governance
DLP review
Classification of environments
Have a target to get people out of the default 38 PowerApps that are custom built to support the organization. Deployment Pipelines ALM
Are we doing it the best way or is their a better way. Priority List
Governance Framework
Environment Framework
Security Workshop.
Learning session on the new Admin Center.
ALM and Pipelines
Default Env Monitoring
Power Pages POC</t>
  </si>
  <si>
    <t>Followed up awaiting to hear back from OTPP.</t>
  </si>
  <si>
    <t>Rowan Chen</t>
  </si>
  <si>
    <t>837cc3da-38c5-4716-b368-da03feb63070</t>
  </si>
  <si>
    <t>bCjymEhK3rEBl9iAuRVY3FSoP+vVfdEhWsTX85z9R50yQt+i6DFYGNb+Mp/Zf8i5PrqulPtYoRX8O/KFkcCZ7w==</t>
  </si>
  <si>
    <t>Adatum - Workstream Automation #034</t>
  </si>
  <si>
    <t>Adatum</t>
  </si>
  <si>
    <t>Farber seeks a strategic partner to drive an integrated enterprise transformation, redesigning processes, org model, data foundations, and modernizing Dynamics 365/Power Platform to build a scalable, efficient, client‑centric operation.</t>
  </si>
  <si>
    <t>Reconnect with Farber in 2 months to check in on initiative.</t>
  </si>
  <si>
    <t>c35fdf00-a8b2-4d2d-8b6a-f6708f5c7720</t>
  </si>
  <si>
    <t>WYFdK9C+Bs2/nB5oOYv7l+O693GmDVrIthkl/2WljMujW27uX9Qu8lAmERdCu91AlpfLuMA2D5cmYdYM6yRVGA==</t>
  </si>
  <si>
    <t>Fabrikam Healthcare - Power Automate Contact Center Upgrade #035</t>
  </si>
  <si>
    <t>Fabrikam Healthcare</t>
  </si>
  <si>
    <t>Opportunity to partner with Oracle team on Cost of Care solution and Process Mining</t>
  </si>
  <si>
    <t>CIO retiring. need to move out til fall to pick this back up iwth Corey</t>
  </si>
  <si>
    <t>e75a444c-e6e6-4a8c-a53c-6db0f16f7bcc</t>
  </si>
  <si>
    <t>03AcIXCaoJA6sgICYc6Kkvt11nmQzUp3lQzlrS8yy4URvk26uHuQwzrWjOs+TZvMm2SIhM3A/X3rZVc8rvR+mQ==</t>
  </si>
  <si>
    <t>Adatum Manufacturing - Workstream Project Ops Transition #036</t>
  </si>
  <si>
    <t>4cea9abf-0581-4b42-8e2e-28fb0107d2d7</t>
  </si>
  <si>
    <t>lmc0ydF/+h3INqK4CRl0Fmw++nxuummo4liTuuHpKWv3g+/rpu05xtHWUDVo0tWriVAEu7xIaVVVuvy8nFn75Q==</t>
  </si>
  <si>
    <t>Contoso Public Sector - Workstream Digital Front Door #037</t>
  </si>
  <si>
    <t>Contoso Public Sector</t>
  </si>
  <si>
    <t>RFP for CRM Contoso Public Sector.</t>
  </si>
  <si>
    <t>Awarded -- Complete MSA and sign back by Dec 31st.</t>
  </si>
  <si>
    <t>15f14570-808e-4340-a36a-c15b398f473d</t>
  </si>
  <si>
    <t>LbuTyyWwO10CDT6IdyN/UA3jIVCsPFkoyJoX9o8h1SXCDhUWqAym78hXFY6eehpwrzvMvHY/IWKheL8gv67Mug==</t>
  </si>
  <si>
    <t>Volcano Manufacturing 4 - Workstream Process Mining Quick Start #038</t>
  </si>
  <si>
    <t>Volcano Manufacturing 4</t>
  </si>
  <si>
    <t>Volcano Manufacturing 4 is exploring AI and Copilot adoption but faces strict ROI requirements from its private equity owners. ERP replacement is off the table, yet inefficiencies persist across SAP, QAD, ProfitKey, and custom shop-floor systems. The proposed engagement leverages Microsoft-funded process mining to uncover automation opportunities, quantify ROI, and identify high-impact use cases for Copilot and Power Platform. This approach provides a clear, data-driven roadmap for AI adoption without major system changes.</t>
  </si>
  <si>
    <t>Send Volcano Manufacturing 4 updated proposal with updated MS funding</t>
  </si>
  <si>
    <t>2c715131-5674-4f4f-8e8e-e58c2a964e33</t>
  </si>
  <si>
    <t>IUZcXLXWwcc1UticuPa3ejpU0iMuGFlgeRrkporik/xIgkABhCK/t2mIqdhEfoHzDWZ+bK6cVB72Gl5FQJO82Q==</t>
  </si>
  <si>
    <t>Fourth Coffee Financial - Workstream RPA Consolidation #039</t>
  </si>
  <si>
    <t>Fourth Coffee Financial</t>
  </si>
  <si>
    <t>Copilot Studio Accelerator offer</t>
  </si>
  <si>
    <t>Check in meeting scheduled for Dec 12th to position our Copilot Accelerator offer.</t>
  </si>
  <si>
    <t>Skyler Chen</t>
  </si>
  <si>
    <t>403fd20f-0bb6-4437-aada-8935606b1c30</t>
  </si>
  <si>
    <t>13xpeocTmJYs90kI6gKkr0ACZYvRRCYDxFJ+GJQuTnTuW/u44mFN0/7HaW4qppxL4C/j9zZoY3V3Yb1Qpn87cQ==</t>
  </si>
  <si>
    <t>Woodgrove Financial - Workstream Agent Accelerator #040</t>
  </si>
  <si>
    <t>Woodgrove Financial</t>
  </si>
  <si>
    <t>John Hancock Finance is exploring AI adoption aligned to Manulife’s 2026 direction. Microsoft initiated an enablement path to clarify Copilot for M365 vs. Copilot Studio and identify Finance-focused AI use cases leading to a potential PoC.</t>
  </si>
  <si>
    <t>Connect with Lydia Microsoft SSP on next steps. work with Nyell to understand MCI funding availability.</t>
  </si>
  <si>
    <t>745a175e-442e-4bce-9143-34507c278291</t>
  </si>
  <si>
    <t>QWL8vMriAsiJrX6LqIVPHN7BE2TQqT3/jMpOC7dAE+GdGzuvLzmuSBJEKsev2j7WIGgQC3lPPhsPkW6q3lPF/w==</t>
  </si>
  <si>
    <t>Tailspin Retail Group - Workstream Code Review #041</t>
  </si>
  <si>
    <t>Northwind Traders is moving from Appian, Moveworks and Blue Prism to Power Platform as part of tools consolidation / renewal propsoal.</t>
  </si>
  <si>
    <t>Follow up with Northwind Traders on where this sits in the 2026 priorities and waiting to hear back.</t>
  </si>
  <si>
    <t>24fb09ec-87d8-4a86-ab69-9a077c3609ea</t>
  </si>
  <si>
    <t>OpCRn5wfJxddMkSuF/uj5dikCt3tgmwHGmP0Plnopj1V9wp05BSdJCp2ttqFQ9rGbALwziGDvTJpB7sDPJYf6Q==</t>
  </si>
  <si>
    <t>Contoso Manufacturing - Workstream Managed Services #042</t>
  </si>
  <si>
    <t>Contoso Manufacturing</t>
  </si>
  <si>
    <t>Copilot Studio Agent Accelerator</t>
  </si>
  <si>
    <t>Touch point meeting in May.</t>
  </si>
  <si>
    <t>Emerson Chen</t>
  </si>
  <si>
    <t>53618341-eebb-4e82-823c-3683786eede5</t>
  </si>
  <si>
    <t>8LNmAYDZYwG+9gQoCHQ5Dd1D6tGV6R2b+1fk+nXpLc2Oe5P2MswRPfc7rUmh23LZeKOwPp/Apg6qHEyrlPcLzQ==</t>
  </si>
  <si>
    <t>Northwind Importers - Workstream Modernization #043</t>
  </si>
  <si>
    <t>Northwind Importers</t>
  </si>
  <si>
    <t>Launch Autonomous Copilot Studio Agent</t>
  </si>
  <si>
    <t>Meet with Jeramie / Thomas power Chicago Workshop to review SOW on Copilto Studio Agent.</t>
  </si>
  <si>
    <t>Jamie Chen</t>
  </si>
  <si>
    <t>968211ae-0354-4026-b90c-c0231bc2ffab</t>
  </si>
  <si>
    <t>rdab2C8LuLKwZN7RId+F1gEdUXIGW0cKVifJdA7+pzPrXh0djf/6H/AZh7Jm8SiBbd4yijCmxL7ZRluMzHRIoQ==</t>
  </si>
  <si>
    <t>Tailspin Retail Group - Workstream Migration #044</t>
  </si>
  <si>
    <t>Enhance Northwind Traders’s Coplan App by adding a secure Power Pages portal for external consultants to directly update assigned records, improving efficiency and data quality.</t>
  </si>
  <si>
    <t>Key Business stakeholder on leave for at least a month. Project on hold until he gets back. Follow up end of feb.</t>
  </si>
  <si>
    <t>Kai Chen</t>
  </si>
  <si>
    <t>b2c40bb2-fa31-4927-af27-80367a794faa</t>
  </si>
  <si>
    <t>lks20LwgELyOG5MNyiprMc0nCAQOclBFTFCYGXJQvLXCCsaFZrPu+oJB2r8rH46cKFxigo678w1DtfgRtmzGnQ==</t>
  </si>
  <si>
    <t>Contoso Financial 3 - Workstream Enablement #045</t>
  </si>
  <si>
    <t>Contoso Financial 3</t>
  </si>
  <si>
    <t>Engage Manulife ETS Innovation team to showcase Alethea’s agentic AI and process mining capabilities, aiming to support their 3–5 year strategy through pilot projects and knowledge transfer.</t>
  </si>
  <si>
    <t>Meeting schedule with ETS Innovations lead to talk about next steps. John Hancock MSA in place.</t>
  </si>
  <si>
    <t>Sasha Chen</t>
  </si>
  <si>
    <t>57ad218d-6682-4845-85f1-0dc9c99d0f1b</t>
  </si>
  <si>
    <t>8HF8dSjsprXhJFxpRhtSLCAdBF8gB3sXRk8vxZ8I/C5ZO1pgrQ/j+jHnipfyOmR1heICi26HucjFtyVBOKjrog==</t>
  </si>
  <si>
    <t>Tailspin Retail Group - Workstream Governance #046</t>
  </si>
  <si>
    <t>Automate a secure, accessible change log for six critical tables in the Coplan app, enabling non-licensed users to view updates, improving transparency and reducing manual reporting.</t>
  </si>
  <si>
    <t>301a32a8-930e-4f23-a6f4-111ce156a27b</t>
  </si>
  <si>
    <t>2+aPP5moLvIhA5CKb8okFabrikam Financial4vGmuu7/iTo7CciSyEJLOZCetB4SQ0pspKU3GUy8rwwqBtKP8YACa5Py92smcjgg==</t>
  </si>
  <si>
    <t>Tailspin Retail Group - Workstream AI Pilot #047</t>
  </si>
  <si>
    <t>RFQ portal Vendor updates plus a security engagement with Glitch secure</t>
  </si>
  <si>
    <t>Prepare CR and send to Senthil for entry into field glass.</t>
  </si>
  <si>
    <t>db5542ca-801e-41af-9736-5e38cc84ccaf</t>
  </si>
  <si>
    <t>zzAcITAKhR4uIDH5OwZUIhZgpvJ+9S9H5KrpF/QeAU692VydpBCLbQTMG8kMrmmcA8eZZsgNd6I8xrH4XHBsaQ==</t>
  </si>
  <si>
    <t>World Wide Importers - Workstream Automation #048</t>
  </si>
  <si>
    <t>World Wide Importers</t>
  </si>
  <si>
    <t>Copilot Studio Agent Accelerator offer</t>
  </si>
  <si>
    <t>Customer has gone dark following up again..</t>
  </si>
  <si>
    <t>Harper Chen</t>
  </si>
  <si>
    <t>c64824c8-1fdc-4050-a39b-2b455de14646</t>
  </si>
  <si>
    <t>+hVIJ4YCpmjMxRHXzIC2N/cD+/IAPZuWxrUAmtmXKVGIE6ProDc7CSK5dUzqQxxr47guek3CYHloYN4lR3TAOQ==</t>
  </si>
  <si>
    <t>Volcano Manufacturing 2 - Workstream Contact Center Upgrade #049</t>
  </si>
  <si>
    <t>JCI wants to migrate some UI Autonomous Bots to Power Automate Process to save $</t>
  </si>
  <si>
    <t>Complete MSA with Project Ops opportunity.</t>
  </si>
  <si>
    <t>c252491d-4530-4d0e-a79e-56a41b58582a</t>
  </si>
  <si>
    <t>EoX3ljlqtrOChQqMpPPfpSJ4T5ZQ2gWnSmDcnSBp81BFfww/eSiVyfBQu1fwuZSM6NNsMj9scW4cCpiHnFpCoA==</t>
  </si>
  <si>
    <t>Contoso Technology - Workstream Project Ops Transition #050</t>
  </si>
  <si>
    <t>Contoso Technology</t>
  </si>
  <si>
    <t>Managed service F&amp;O Hydrosolutions.</t>
  </si>
  <si>
    <t>Introduction meeting with Microsoft team to Yuri in Montreal hydrosolutions.</t>
  </si>
  <si>
    <t>1eb1a82e-f7ab-4491-98ee-d606235d18db</t>
  </si>
  <si>
    <t>isbszna+mLw04O2OsUzr4oYq1iCMZ8rruGmo2V4W7oA6k7+7+r8whbi/zUSnTsTMIbz0Pi3Xf1BRS/CExLBe1g==</t>
  </si>
  <si>
    <t>Contoso Financial - Workstream Digital Front Door #051</t>
  </si>
  <si>
    <t>Deploy M365 Copilot and Copilot Studio to liberate human capacity across Contoso Financial</t>
  </si>
  <si>
    <t>Proposal to unblock Dataverse being sent to Contoso Financial this week to unblock this opp.</t>
  </si>
  <si>
    <t>07e25940-8eab-4b21-b7b0-666294a94a9a</t>
  </si>
  <si>
    <t>SJBSDuB3chJ3XFfe+N2M1yAkZ9LxsjkOSongE60m1kcTLreQ3IuJVR690HwsXUksqUQUu91QW1C30QgRnRkhvg==</t>
  </si>
  <si>
    <t>Contoso 2 - Workstream Process Mining Quick Start #052</t>
  </si>
  <si>
    <t>Contoso 2</t>
  </si>
  <si>
    <t>Core Plus Flex Delivery Model: We aligned on implementing a delivery structure with a stable core team (architects, program managers) and a flexible team to manage backlog fluctuations. The model will incorporate compliance-specific activities tailored for regulated life sciences environments.</t>
  </si>
  <si>
    <t>check back in with Champion once they have solved their AI Literacy.</t>
  </si>
  <si>
    <t>Logan Chen</t>
  </si>
  <si>
    <t>20d04bac-6961-4d0f-9df0-22ae3d92b8f4</t>
  </si>
  <si>
    <t>nzfHFabrikam FinancialS7RttrNEtq0ohMXwCOjLXJLFMnJ7dKPU6t0JmF1x+rUdyiHvydIILxWmFabrikam FinancialH1VygGOdW/XnvpwTesLW/g==</t>
  </si>
  <si>
    <t>Contoso Financial - Workstream RPA Consolidation #053</t>
  </si>
  <si>
    <t>Migration of share mailboxes plus introduction of AI into the solution at scale with Agents</t>
  </si>
  <si>
    <t>Complete Phase 1.</t>
  </si>
  <si>
    <t>2bf4c244-b622-44fb-b787-1cfd731b0544</t>
  </si>
  <si>
    <t>KwZGxRDRCrDi++Ak9oKVtPatycDkl0ljHF737A1HEaQ0q2hVBAy/Aks0yqx+zYQ1mrirweAvbIbNZHt3AJvrKQ==</t>
  </si>
  <si>
    <t>Fabrikam Financial - Workstream Agent Accelerator #054</t>
  </si>
  <si>
    <t>Fabrikam Financial</t>
  </si>
  <si>
    <t>Understand Alithya D365 contact marketing events and sales play</t>
  </si>
  <si>
    <t>731266b6-454c-4d68-887b-31fa709691b6</t>
  </si>
  <si>
    <t>yDUltlvfeCpd6PFquQkY1qMYnesJ0jf9zkVA9S4DVI5VsVIzHUbN1nOoN814uIX9coWkps6gPyTgMr6Contoso Healthcg==</t>
  </si>
  <si>
    <t>Contoso Financial 6 - Workstream Code Review #055</t>
  </si>
  <si>
    <t>Contoso Financial 6</t>
  </si>
  <si>
    <t>Nov 30 - Sunlife is currently training their staff on Power Automate. Sent an email with details of our migration tools to see if there would be interest. Jan 13 - Sent over two emails. One to follow up on meeting requestion. Second was to Iskandar Nurtanto who worked at CGI when I was there..</t>
  </si>
  <si>
    <t>Alex Patel</t>
  </si>
  <si>
    <t>393e7dd4-a448-424b-a6fb-ca387bba5440</t>
  </si>
  <si>
    <t>+nrg1XVRXcEL5o0KcCQMb8XOznpZzyV4oBM/6waBkibIl2xOhjVRLp5TfD5n8TfoWCrT8GgfbgunxdChFDWcOw==</t>
  </si>
  <si>
    <t>Northwind Digital - Workstream Managed Services #056</t>
  </si>
  <si>
    <t>Managed support agreement</t>
  </si>
  <si>
    <t>Meeting with Contoso Technology Wednesday to get an update on this proposal.</t>
  </si>
  <si>
    <t>dac8ab28-2e48-4cb2-92ab-6ad199450cca</t>
  </si>
  <si>
    <t>klbg/lZFIZbodSa5eUBIfkptjwMjlYgVotXURIL9YD5BNzDXi2j11+Syp9pYAzmjK11hjtShLqYVfyRox3CSqw==</t>
  </si>
  <si>
    <t>Contoso Financial - Workstream Modernization #057</t>
  </si>
  <si>
    <t>Celonis is expiring in Fall. Looking at PM &amp; recently attended a meeting regarding data mining in process; use Celonis which is more expensive than Process Mining.</t>
  </si>
  <si>
    <t>Weekly check points with GIo.</t>
  </si>
  <si>
    <t>a838fd28-985b-4ba3-b808-46847a52d553</t>
  </si>
  <si>
    <t>PkmWuQ8M2l3U+mC+UXgeiixkleGGFaVWCdpv7nbEL9gRbsNUNt+Je7xsBogXx8TE5ppssFywHdrXp69evgM6gQ==</t>
  </si>
  <si>
    <t>Woodgrove - Workstream Migration #058</t>
  </si>
  <si>
    <t>Woodgrove</t>
  </si>
  <si>
    <t>The opportunity at Woodgrove is centered around enhancing their Power Platform governance and operationalizing the knowledge gained from the Power CAT workshop. The internal champion, Heidy Nuevo, is driving the initiative with strong engagement and coordination. The economic buyer, Michael Jimerson, VP of IT, will authorize funding and is crucial for the project's approval.</t>
  </si>
  <si>
    <t>Review Use case and 2026 funding with First service third week of March.</t>
  </si>
  <si>
    <t>Jordan Patel</t>
  </si>
  <si>
    <t>3c06e1f7-1daf-42c2-9233-b57de394a657</t>
  </si>
  <si>
    <t>WzXDHpKTq9maG1xiWPUwVwkQOpXbd7J/wvkU2dGNCog7w1mEXvPfGgS9nQV+iQdmMm6K/0ak1upA0AShwTh+oQ==</t>
  </si>
  <si>
    <t>Northwind Digital - Workstream Enablement #059</t>
  </si>
  <si>
    <t>Phase 0 (Commerce) focuses on a lift‑and‑shift from Salesforce and is defined as a standalone scope of work. It includes sales order notifications and the tracking of customer entitlements and subscriptions, which are currently managed in Salesforce, and will be refactored as part of the B2B flow with an emphasis on process improvement. In parallel, this phase delivers improved CRM–Finance &amp; Operations (F&amp;O) integration by enhancing prioritized integration touchpoints to enable easier data access, stronger reporting outcomes, and a more consistent end‑user experience, without attempting a full ERP redesign.</t>
  </si>
  <si>
    <t>Circle back post Salesforce migration.</t>
  </si>
  <si>
    <t>181242f3-d295-4230-a2da-5f1bb82a4680</t>
  </si>
  <si>
    <t>ag4EURTlDDEexVhCC89aBoNHo5txDG7tLETYsCi3vXIFspZrVp66Tqq5dCQdzTWZSbcHkTZc3wFKnl9q73QsRw==</t>
  </si>
  <si>
    <t>Volcano Manufacturing 3 - Workstream Governance #060</t>
  </si>
  <si>
    <t>Volcano Manufacturing 3</t>
  </si>
  <si>
    <t>Meet with AI Business Solutions rep thursday to pursue at LAM</t>
  </si>
  <si>
    <t>opportunity:0Frib3slvdxIcYLFbN9DqshIXA984/Ev3BMkg1aU+DwnFQ2RoJuxt7Wy2RAlvTuObNc/bqFCQFfpaYHV5d7+lw==:opportunityid=%28Do%20Not%20Modify%29%20Opportunity&amp;checksumLogicalName=%28Do%20Not%20Modify%29%20Row%20Checksum&amp;modifiedon=%28Do%20Not%20Modify%29%20Modified%20On&amp;name=Topic&amp;parentaccountid=Account&amp;description=Description&amp;alya_nextstep=Next%20Step&amp;alya_nextstepduedate=Next%20Step%20Due%20Date&amp;estimatedclosedate=Est.%20close%20date&amp;estimatedvalue=Est.%20revenue&amp;timeline=Timeline&amp;parentcontactid=Contact&amp;opportunityratingcode=Rating&amp;salesstage=Sales%20Stage&amp;closeprobability=Probability&amp;createdon=Created%20On&amp;modifiedon=Modified%20On&amp;alya_msftworkloadproduct=MSFT%20Workload%20Product&amp;alya_forecastcategory=Forecast%20Category</t>
  </si>
  <si>
    <t>Immediate</t>
  </si>
  <si>
    <t>This Quarter</t>
  </si>
  <si>
    <t>Next Quarter</t>
  </si>
  <si>
    <t>This Year</t>
  </si>
  <si>
    <t>Not known</t>
  </si>
  <si>
    <t>Hot</t>
  </si>
  <si>
    <t>Cold</t>
  </si>
  <si>
    <t>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</si>
</sst>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22" fontId="0" fillId="0" borderId="0" xfId="0" applyNumberFormat="1"/>
    <xf numFmtId="49" fontId="0" fillId="0" borderId="0" xfId="0" applyNumberFormat="1" applyAlignment="1">
      <alignment wrapText="1"/>
    </xf>
    <xf numFmtId="14" fontId="0" fillId="0" borderId="0" xfId="0" applyNumberFormat="1"/>
    <xf numFmtId="2" fontId="0" fillId="0" borderId="0" xfId="0" applyNumberFormat="1"/>
    <xf numFmtId="1" fontId="0" fillId="0" borderId="0" xfId="0" applyNumberFormat="1"/>
  </cellXfs>
  <cellStyles count="1">
    <cellStyle name="Normal" xfId="0" builtinId="0"/>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61" totalsRowShown="0">
  <autoFilter ref="A1:T61" xr:uid="{00000000-0009-0000-0100-000001000000}"/>
  <tableColumns count="20">
    <tableColumn id="1" xr3:uid="{00000000-0010-0000-0000-000001000000}" name="(Do Not Modify) Opportunity"/>
    <tableColumn id="2" xr3:uid="{00000000-0010-0000-0000-000002000000}" name="(Do Not Modify) Row Checksum"/>
    <tableColumn id="3" xr3:uid="{00000000-0010-0000-0000-000003000000}" name="(Do Not Modify) Modified On"/>
    <tableColumn id="4" xr3:uid="{00000000-0010-0000-0000-000004000000}" name="Opportunity Name"/>
    <tableColumn id="5" xr3:uid="{00000000-0010-0000-0000-000005000000}" name="Account"/>
    <tableColumn id="6" xr3:uid="{00000000-0010-0000-0000-000006000000}" name="Description"/>
    <tableColumn id="7" xr3:uid="{00000000-0010-0000-0000-000007000000}" name="Next Step"/>
    <tableColumn id="8" xr3:uid="{00000000-0010-0000-0000-000008000000}" name="Next Step Due Date"/>
    <tableColumn id="9" xr3:uid="{00000000-0010-0000-0000-000009000000}" name="Close Date"/>
    <tableColumn id="10" xr3:uid="{00000000-0010-0000-0000-00000A000000}" name="Estimated Revenue (TCV)"/>
    <tableColumn id="11" xr3:uid="{00000000-0010-0000-0000-00000B000000}" name="Timeline"/>
    <tableColumn id="12" xr3:uid="{00000000-0010-0000-0000-00000C000000}" name="Contact"/>
    <tableColumn id="13" xr3:uid="{00000000-0010-0000-0000-00000D000000}" name="Rating"/>
    <tableColumn id="14" xr3:uid="{00000000-0010-0000-0000-00000E000000}" name="Sales Stage"/>
    <tableColumn id="15" xr3:uid="{00000000-0010-0000-0000-00000F000000}" name="Probability" dataDxfId="0">
      <calculatedColumnFormula>IF(S2="","",VALUE(LEFT(S2,FIND("%",S2)-1)))</calculatedColumnFormula>
    </tableColumn>
    <tableColumn id="16" xr3:uid="{00000000-0010-0000-0000-000010000000}" name="Created On"/>
    <tableColumn id="17" xr3:uid="{00000000-0010-0000-0000-000011000000}" name="Modified On"/>
    <tableColumn id="18" xr3:uid="{00000000-0010-0000-0000-000012000000}" name="Product"/>
    <tableColumn id="19" xr3:uid="{00000000-0010-0000-0000-000013000000}" name="Forecast Category"/>
    <tableColumn id="20" xr3:uid="{00000000-0010-0000-0000-000014000000}" name="Actual 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T61"/>
  <sheetViews>
    <sheetView tabSelected="1" topLeftCell="K1" workbookViewId="0">
      <selection activeCell="N4" sqref="N4"/>
    </sheetView>
  </sheetViews>
  <sheetFormatPr defaultRowHeight="14.6"/>
  <cols>
    <col min="1" max="1" width="0" hidden="1"/>
    <col min="2" max="2" width="0" style="1" hidden="1"/>
    <col min="3" max="3" width="0" style="2" hidden="1"/>
    <col min="4" max="5" width="28" style="1" customWidth="1"/>
    <col min="6" max="6" width="28" style="3" customWidth="1"/>
    <col min="7" max="7" width="28" style="1" customWidth="1"/>
    <col min="8" max="9" width="28" style="4" customWidth="1"/>
    <col min="10" max="10" width="28" style="5" customWidth="1"/>
    <col min="11" max="14" width="28" style="1" customWidth="1"/>
    <col min="15" max="15" width="28" style="6" customWidth="1"/>
    <col min="16" max="17" width="28" style="2" customWidth="1"/>
    <col min="18" max="19" width="28" style="1" customWidth="1"/>
    <col min="20" max="20" width="16.07421875" bestFit="1" customWidth="1"/>
  </cols>
  <sheetData>
    <row r="1" spans="1:20">
      <c r="A1" t="s">
        <v>0</v>
      </c>
      <c r="B1" t="s">
        <v>1</v>
      </c>
      <c r="C1" t="s">
        <v>2</v>
      </c>
      <c r="D1" t="s">
        <v>3</v>
      </c>
      <c r="E1" t="s">
        <v>4</v>
      </c>
      <c r="F1" t="s">
        <v>5</v>
      </c>
      <c r="G1" t="s">
        <v>6</v>
      </c>
      <c r="H1" t="s">
        <v>7</v>
      </c>
      <c r="I1" t="s">
        <v>8</v>
      </c>
      <c r="J1" t="s">
        <v>9</v>
      </c>
      <c r="K1" t="s">
        <v>10</v>
      </c>
      <c r="L1" t="s">
        <v>11</v>
      </c>
      <c r="M1" t="s">
        <v>12</v>
      </c>
      <c r="N1" t="s">
        <v>13</v>
      </c>
      <c r="O1" t="s">
        <v>392</v>
      </c>
      <c r="P1" t="s">
        <v>14</v>
      </c>
      <c r="Q1" t="s">
        <v>15</v>
      </c>
      <c r="R1" t="s">
        <v>16</v>
      </c>
      <c r="S1" t="s">
        <v>17</v>
      </c>
      <c r="T1" t="s">
        <v>18</v>
      </c>
    </row>
    <row r="2" spans="1:20" ht="29.15" customHeight="1">
      <c r="A2" t="s">
        <v>19</v>
      </c>
      <c r="B2" s="1" t="s">
        <v>20</v>
      </c>
      <c r="C2" s="2">
        <v>46105.708009259259</v>
      </c>
      <c r="D2" s="1" t="s">
        <v>21</v>
      </c>
      <c r="E2" s="1" t="s">
        <v>22</v>
      </c>
      <c r="F2" s="3" t="s">
        <v>23</v>
      </c>
      <c r="G2" s="1" t="s">
        <v>24</v>
      </c>
      <c r="H2" s="4">
        <v>46107.833333333343</v>
      </c>
      <c r="I2" s="4">
        <v>46115</v>
      </c>
      <c r="J2" s="5">
        <v>177000</v>
      </c>
      <c r="L2" s="1" t="s">
        <v>25</v>
      </c>
      <c r="M2" s="1" t="s">
        <v>26</v>
      </c>
      <c r="N2" s="1" t="s">
        <v>27</v>
      </c>
      <c r="O2" s="6">
        <f t="shared" ref="O2:O33" si="0">IF(S2="","",VALUE(LEFT(S2,FIND("%",S2)-1)))</f>
        <v>90</v>
      </c>
      <c r="P2" s="2">
        <v>45708.610891203702</v>
      </c>
      <c r="Q2" s="2">
        <v>46105.541342592587</v>
      </c>
      <c r="R2" s="1" t="s">
        <v>28</v>
      </c>
      <c r="S2" s="1" t="s">
        <v>29</v>
      </c>
    </row>
    <row r="3" spans="1:20" ht="72.900000000000006" customHeight="1">
      <c r="A3" t="s">
        <v>30</v>
      </c>
      <c r="B3" s="1" t="s">
        <v>31</v>
      </c>
      <c r="C3" s="2">
        <v>46109.622002314813</v>
      </c>
      <c r="D3" s="1" t="s">
        <v>32</v>
      </c>
      <c r="E3" s="1" t="s">
        <v>22</v>
      </c>
      <c r="F3" s="3" t="s">
        <v>33</v>
      </c>
      <c r="G3" s="1" t="s">
        <v>24</v>
      </c>
      <c r="H3" s="4">
        <v>46107.833333333343</v>
      </c>
      <c r="I3" s="4">
        <v>46115</v>
      </c>
      <c r="J3" s="5">
        <v>90100</v>
      </c>
      <c r="L3" s="1" t="s">
        <v>34</v>
      </c>
      <c r="M3" s="1" t="s">
        <v>26</v>
      </c>
      <c r="N3" s="1" t="s">
        <v>27</v>
      </c>
      <c r="O3" s="6">
        <f t="shared" si="0"/>
        <v>90</v>
      </c>
      <c r="P3" s="2">
        <v>46000.398101851853</v>
      </c>
      <c r="Q3" s="2">
        <v>46109.455335648148</v>
      </c>
      <c r="R3" s="1" t="s">
        <v>35</v>
      </c>
      <c r="S3" s="1" t="s">
        <v>29</v>
      </c>
    </row>
    <row r="4" spans="1:20" ht="409.6" customHeight="1">
      <c r="A4" t="s">
        <v>36</v>
      </c>
      <c r="B4" s="1" t="s">
        <v>37</v>
      </c>
      <c r="C4" s="2">
        <v>46103.914571759262</v>
      </c>
      <c r="D4" s="1" t="s">
        <v>38</v>
      </c>
      <c r="E4" s="1" t="s">
        <v>39</v>
      </c>
      <c r="F4" s="3" t="s">
        <v>40</v>
      </c>
      <c r="G4" s="1" t="s">
        <v>41</v>
      </c>
      <c r="H4" s="4">
        <v>46107.833333333343</v>
      </c>
      <c r="I4" s="4">
        <v>46139</v>
      </c>
      <c r="J4" s="5">
        <v>2391000</v>
      </c>
      <c r="L4" s="1" t="s">
        <v>42</v>
      </c>
      <c r="M4" s="1" t="s">
        <v>26</v>
      </c>
      <c r="N4" s="1" t="s">
        <v>27</v>
      </c>
      <c r="O4" s="6">
        <f t="shared" si="0"/>
        <v>70</v>
      </c>
      <c r="P4" s="2">
        <v>46002.491585648153</v>
      </c>
      <c r="Q4" s="2">
        <v>46103.74790509259</v>
      </c>
      <c r="S4" s="1" t="s">
        <v>43</v>
      </c>
    </row>
    <row r="5" spans="1:20" ht="29.15" customHeight="1">
      <c r="A5" t="s">
        <v>44</v>
      </c>
      <c r="B5" s="1" t="s">
        <v>45</v>
      </c>
      <c r="C5" s="2">
        <v>46103.914872685193</v>
      </c>
      <c r="D5" s="1" t="s">
        <v>46</v>
      </c>
      <c r="E5" s="1" t="s">
        <v>47</v>
      </c>
      <c r="F5" s="3" t="s">
        <v>48</v>
      </c>
      <c r="G5" s="1" t="s">
        <v>49</v>
      </c>
      <c r="H5" s="4">
        <v>46121.833333333343</v>
      </c>
      <c r="I5" s="4">
        <v>46139</v>
      </c>
      <c r="J5" s="5">
        <v>96300</v>
      </c>
      <c r="L5" s="1" t="s">
        <v>50</v>
      </c>
      <c r="M5" s="1" t="s">
        <v>26</v>
      </c>
      <c r="N5" s="1" t="s">
        <v>27</v>
      </c>
      <c r="O5" s="6">
        <f t="shared" si="0"/>
        <v>70</v>
      </c>
      <c r="P5" s="2">
        <v>45725.809976851851</v>
      </c>
      <c r="Q5" s="2">
        <v>46103.748206018521</v>
      </c>
      <c r="R5" s="1" t="s">
        <v>51</v>
      </c>
      <c r="S5" s="1" t="s">
        <v>43</v>
      </c>
    </row>
    <row r="6" spans="1:20" ht="409.6" customHeight="1">
      <c r="A6" t="s">
        <v>52</v>
      </c>
      <c r="B6" s="1" t="s">
        <v>53</v>
      </c>
      <c r="C6" s="2">
        <v>46109.880787037036</v>
      </c>
      <c r="D6" s="1" t="s">
        <v>54</v>
      </c>
      <c r="E6" s="1" t="s">
        <v>55</v>
      </c>
      <c r="F6" s="3" t="s">
        <v>56</v>
      </c>
      <c r="G6" s="1" t="s">
        <v>57</v>
      </c>
      <c r="H6" s="4">
        <v>46107.833333333343</v>
      </c>
      <c r="I6" s="4">
        <v>46139</v>
      </c>
      <c r="J6" s="5">
        <v>51800</v>
      </c>
      <c r="M6" s="1" t="s">
        <v>26</v>
      </c>
      <c r="N6" s="1" t="s">
        <v>27</v>
      </c>
      <c r="O6" s="6">
        <f t="shared" si="0"/>
        <v>40</v>
      </c>
      <c r="P6" s="2">
        <v>46075.825497685182</v>
      </c>
      <c r="Q6" s="2">
        <v>46109.714120370372</v>
      </c>
      <c r="S6" s="1" t="s">
        <v>58</v>
      </c>
    </row>
    <row r="7" spans="1:20" ht="409.6" customHeight="1">
      <c r="A7" t="s">
        <v>59</v>
      </c>
      <c r="B7" s="1" t="s">
        <v>60</v>
      </c>
      <c r="C7" s="2">
        <v>46105.599699074082</v>
      </c>
      <c r="D7" s="1" t="s">
        <v>61</v>
      </c>
      <c r="E7" s="1" t="s">
        <v>22</v>
      </c>
      <c r="F7" s="3" t="s">
        <v>62</v>
      </c>
      <c r="G7" s="1" t="s">
        <v>63</v>
      </c>
      <c r="H7" s="4">
        <v>46107.833333333343</v>
      </c>
      <c r="I7" s="4">
        <v>46139</v>
      </c>
      <c r="J7" s="5">
        <v>129000</v>
      </c>
      <c r="L7" s="1" t="s">
        <v>64</v>
      </c>
      <c r="M7" s="1" t="s">
        <v>26</v>
      </c>
      <c r="N7" s="1" t="s">
        <v>27</v>
      </c>
      <c r="O7" s="6">
        <f t="shared" si="0"/>
        <v>70</v>
      </c>
      <c r="P7" s="2">
        <v>45691.26767361111</v>
      </c>
      <c r="Q7" s="2">
        <v>46105.433032407411</v>
      </c>
      <c r="R7" s="1" t="s">
        <v>28</v>
      </c>
      <c r="S7" s="1" t="s">
        <v>43</v>
      </c>
    </row>
    <row r="8" spans="1:20" ht="116.6" customHeight="1">
      <c r="A8" t="s">
        <v>65</v>
      </c>
      <c r="B8" s="1" t="s">
        <v>66</v>
      </c>
      <c r="C8" s="2">
        <v>46109.750381944446</v>
      </c>
      <c r="D8" s="1" t="s">
        <v>67</v>
      </c>
      <c r="E8" s="1" t="s">
        <v>68</v>
      </c>
      <c r="F8" s="3" t="s">
        <v>69</v>
      </c>
      <c r="G8" s="1" t="s">
        <v>70</v>
      </c>
      <c r="H8" s="4">
        <v>46107.833333333343</v>
      </c>
      <c r="I8" s="4">
        <v>46202</v>
      </c>
      <c r="J8" s="5">
        <v>128000</v>
      </c>
      <c r="M8" s="1" t="s">
        <v>26</v>
      </c>
      <c r="N8" s="1" t="s">
        <v>71</v>
      </c>
      <c r="O8" s="6">
        <f t="shared" si="0"/>
        <v>70</v>
      </c>
      <c r="P8" s="2">
        <v>46027.555393518523</v>
      </c>
      <c r="Q8" s="2">
        <v>46109.583715277768</v>
      </c>
      <c r="R8" s="1" t="s">
        <v>28</v>
      </c>
      <c r="S8" s="1" t="s">
        <v>43</v>
      </c>
    </row>
    <row r="9" spans="1:20">
      <c r="A9" t="s">
        <v>72</v>
      </c>
      <c r="B9" s="1" t="s">
        <v>73</v>
      </c>
      <c r="C9" s="2">
        <v>46109.621111111112</v>
      </c>
      <c r="D9" s="1" t="s">
        <v>74</v>
      </c>
      <c r="E9" s="1" t="s">
        <v>75</v>
      </c>
      <c r="G9" s="1" t="s">
        <v>76</v>
      </c>
      <c r="H9" s="4">
        <v>46114.833333333343</v>
      </c>
      <c r="I9" s="4">
        <v>46202</v>
      </c>
      <c r="J9" s="5">
        <v>272000</v>
      </c>
      <c r="M9" s="1" t="s">
        <v>26</v>
      </c>
      <c r="N9" s="1" t="s">
        <v>77</v>
      </c>
      <c r="O9" s="6">
        <f t="shared" si="0"/>
        <v>0</v>
      </c>
      <c r="P9" s="2">
        <v>46106.710092592592</v>
      </c>
      <c r="Q9" s="2">
        <v>46109.454444444447</v>
      </c>
      <c r="S9" s="1" t="s">
        <v>78</v>
      </c>
    </row>
    <row r="10" spans="1:20" ht="43.75" customHeight="1">
      <c r="A10" t="s">
        <v>79</v>
      </c>
      <c r="B10" s="1" t="s">
        <v>80</v>
      </c>
      <c r="C10" s="2">
        <v>46104.021504629629</v>
      </c>
      <c r="D10" s="1" t="s">
        <v>81</v>
      </c>
      <c r="E10" s="1" t="s">
        <v>68</v>
      </c>
      <c r="F10" s="3" t="s">
        <v>82</v>
      </c>
      <c r="G10" s="1" t="s">
        <v>83</v>
      </c>
      <c r="H10" s="4">
        <v>46107.833333333343</v>
      </c>
      <c r="I10" s="4">
        <v>46202</v>
      </c>
      <c r="J10" s="5">
        <v>81900</v>
      </c>
      <c r="M10" s="1" t="s">
        <v>26</v>
      </c>
      <c r="N10" s="1" t="s">
        <v>71</v>
      </c>
      <c r="O10" s="6">
        <f t="shared" si="0"/>
        <v>10</v>
      </c>
      <c r="P10" s="2">
        <v>46100.666655092587</v>
      </c>
      <c r="Q10" s="2">
        <v>46103.854837962957</v>
      </c>
      <c r="S10" s="1" t="s">
        <v>84</v>
      </c>
    </row>
    <row r="11" spans="1:20" ht="116.6" customHeight="1">
      <c r="A11" t="s">
        <v>85</v>
      </c>
      <c r="B11" s="1" t="s">
        <v>86</v>
      </c>
      <c r="C11" s="2">
        <v>46104.028715277767</v>
      </c>
      <c r="D11" s="1" t="s">
        <v>87</v>
      </c>
      <c r="E11" s="1" t="s">
        <v>68</v>
      </c>
      <c r="F11" s="3" t="s">
        <v>88</v>
      </c>
      <c r="G11" s="1" t="s">
        <v>89</v>
      </c>
      <c r="H11" s="4">
        <v>46107.833333333343</v>
      </c>
      <c r="I11" s="4">
        <v>46202</v>
      </c>
      <c r="J11" s="5">
        <v>121000</v>
      </c>
      <c r="M11" s="1" t="s">
        <v>26</v>
      </c>
      <c r="N11" s="1" t="s">
        <v>90</v>
      </c>
      <c r="O11" s="6">
        <f t="shared" si="0"/>
        <v>40</v>
      </c>
      <c r="P11" s="2">
        <v>46084.36822916667</v>
      </c>
      <c r="Q11" s="2">
        <v>46103.86204861111</v>
      </c>
      <c r="S11" s="1" t="s">
        <v>58</v>
      </c>
    </row>
    <row r="12" spans="1:20">
      <c r="A12" t="s">
        <v>91</v>
      </c>
      <c r="B12" s="1" t="s">
        <v>92</v>
      </c>
      <c r="C12" s="2">
        <v>46091.595057870371</v>
      </c>
      <c r="D12" s="1" t="s">
        <v>93</v>
      </c>
      <c r="E12" s="1" t="s">
        <v>94</v>
      </c>
      <c r="G12" s="1" t="s">
        <v>95</v>
      </c>
      <c r="H12" s="4">
        <v>46079.791666666657</v>
      </c>
      <c r="I12" s="4">
        <v>46202</v>
      </c>
      <c r="J12" s="5">
        <v>69800</v>
      </c>
      <c r="L12" s="1" t="s">
        <v>96</v>
      </c>
      <c r="M12" s="1" t="s">
        <v>26</v>
      </c>
      <c r="N12" s="1" t="s">
        <v>77</v>
      </c>
      <c r="O12" s="6">
        <f t="shared" si="0"/>
        <v>40</v>
      </c>
      <c r="P12" s="2">
        <v>46075.769872685189</v>
      </c>
      <c r="Q12" s="2">
        <v>46091.428391203714</v>
      </c>
      <c r="S12" s="1" t="s">
        <v>58</v>
      </c>
    </row>
    <row r="13" spans="1:20" ht="145.75" customHeight="1">
      <c r="A13" t="s">
        <v>97</v>
      </c>
      <c r="B13" s="1" t="s">
        <v>98</v>
      </c>
      <c r="C13" s="2">
        <v>46109.74454861111</v>
      </c>
      <c r="D13" s="1" t="s">
        <v>99</v>
      </c>
      <c r="E13" s="1" t="s">
        <v>100</v>
      </c>
      <c r="F13" s="3" t="s">
        <v>101</v>
      </c>
      <c r="G13" s="1" t="s">
        <v>102</v>
      </c>
      <c r="H13" s="4">
        <v>46107.833333333343</v>
      </c>
      <c r="I13" s="4">
        <v>46202</v>
      </c>
      <c r="J13" s="5">
        <v>114000</v>
      </c>
      <c r="M13" s="1" t="s">
        <v>26</v>
      </c>
      <c r="N13" s="1" t="s">
        <v>27</v>
      </c>
      <c r="O13" s="6">
        <f t="shared" si="0"/>
        <v>70</v>
      </c>
      <c r="P13" s="2">
        <v>46034.555520833332</v>
      </c>
      <c r="Q13" s="2">
        <v>46109.577881944453</v>
      </c>
      <c r="S13" s="1" t="s">
        <v>43</v>
      </c>
    </row>
    <row r="14" spans="1:20" ht="145.75" customHeight="1">
      <c r="A14" t="s">
        <v>103</v>
      </c>
      <c r="B14" s="1" t="s">
        <v>104</v>
      </c>
      <c r="C14" s="2">
        <v>46092.730868055558</v>
      </c>
      <c r="D14" s="1" t="s">
        <v>105</v>
      </c>
      <c r="E14" s="1" t="s">
        <v>106</v>
      </c>
      <c r="F14" s="3" t="s">
        <v>107</v>
      </c>
      <c r="G14" s="1" t="s">
        <v>108</v>
      </c>
      <c r="H14" s="4">
        <v>46100.833333333343</v>
      </c>
      <c r="I14" s="4">
        <v>46202</v>
      </c>
      <c r="J14" s="5">
        <v>137000</v>
      </c>
      <c r="M14" s="1" t="s">
        <v>26</v>
      </c>
      <c r="N14" s="1" t="s">
        <v>77</v>
      </c>
      <c r="O14" s="6">
        <f t="shared" si="0"/>
        <v>0</v>
      </c>
      <c r="P14" s="2">
        <v>45985.528564814813</v>
      </c>
      <c r="Q14" s="2">
        <v>46092.564201388886</v>
      </c>
      <c r="S14" s="1" t="s">
        <v>78</v>
      </c>
    </row>
    <row r="15" spans="1:20" ht="116.6" customHeight="1">
      <c r="A15" t="s">
        <v>109</v>
      </c>
      <c r="B15" s="1" t="s">
        <v>110</v>
      </c>
      <c r="C15" s="2">
        <v>46109.622673611113</v>
      </c>
      <c r="D15" s="1" t="s">
        <v>111</v>
      </c>
      <c r="E15" s="1" t="s">
        <v>112</v>
      </c>
      <c r="F15" s="3" t="s">
        <v>113</v>
      </c>
      <c r="G15" s="1" t="s">
        <v>114</v>
      </c>
      <c r="H15" s="4">
        <v>46107.833333333343</v>
      </c>
      <c r="I15" s="4">
        <v>46202</v>
      </c>
      <c r="J15" s="5">
        <v>871000</v>
      </c>
      <c r="L15" s="1" t="s">
        <v>115</v>
      </c>
      <c r="M15" s="1" t="s">
        <v>26</v>
      </c>
      <c r="N15" s="1" t="s">
        <v>71</v>
      </c>
      <c r="O15" s="6">
        <f t="shared" si="0"/>
        <v>10</v>
      </c>
      <c r="P15" s="2">
        <v>45692.199814814812</v>
      </c>
      <c r="Q15" s="2">
        <v>46109.456006944441</v>
      </c>
      <c r="R15" s="1" t="s">
        <v>35</v>
      </c>
      <c r="S15" s="1" t="s">
        <v>84</v>
      </c>
    </row>
    <row r="16" spans="1:20" ht="364.3" customHeight="1">
      <c r="A16" t="s">
        <v>116</v>
      </c>
      <c r="B16" s="1" t="s">
        <v>117</v>
      </c>
      <c r="C16" s="2">
        <v>46085.81453703704</v>
      </c>
      <c r="D16" s="1" t="s">
        <v>118</v>
      </c>
      <c r="E16" s="1" t="s">
        <v>119</v>
      </c>
      <c r="F16" s="3" t="s">
        <v>120</v>
      </c>
      <c r="G16" s="1" t="s">
        <v>121</v>
      </c>
      <c r="H16" s="4">
        <v>46090.833333333343</v>
      </c>
      <c r="I16" s="4">
        <v>46202</v>
      </c>
      <c r="J16" s="5">
        <v>148000</v>
      </c>
      <c r="M16" s="1" t="s">
        <v>26</v>
      </c>
      <c r="N16" s="1" t="s">
        <v>77</v>
      </c>
      <c r="O16" s="6">
        <f t="shared" si="0"/>
        <v>10</v>
      </c>
      <c r="P16" s="2">
        <v>46085.602314814823</v>
      </c>
      <c r="Q16" s="2">
        <v>46085.606203703697</v>
      </c>
      <c r="S16" s="1" t="s">
        <v>84</v>
      </c>
    </row>
    <row r="17" spans="1:19" ht="145.75" customHeight="1">
      <c r="A17" t="s">
        <v>122</v>
      </c>
      <c r="B17" s="1" t="s">
        <v>123</v>
      </c>
      <c r="C17" s="2">
        <v>46092.924409722233</v>
      </c>
      <c r="D17" s="1" t="s">
        <v>124</v>
      </c>
      <c r="E17" s="1" t="s">
        <v>125</v>
      </c>
      <c r="F17" s="3" t="s">
        <v>126</v>
      </c>
      <c r="G17" s="1" t="s">
        <v>127</v>
      </c>
      <c r="H17" s="4">
        <v>46044.791666666657</v>
      </c>
      <c r="I17" s="4">
        <v>46202</v>
      </c>
      <c r="J17" s="5">
        <v>165000</v>
      </c>
      <c r="M17" s="1" t="s">
        <v>26</v>
      </c>
      <c r="N17" s="1" t="s">
        <v>77</v>
      </c>
      <c r="O17" s="6">
        <f t="shared" si="0"/>
        <v>0</v>
      </c>
      <c r="P17" s="2">
        <v>45982.489039351851</v>
      </c>
      <c r="Q17" s="2">
        <v>46092.757743055547</v>
      </c>
      <c r="S17" s="1" t="s">
        <v>78</v>
      </c>
    </row>
    <row r="18" spans="1:19" ht="131.15" customHeight="1">
      <c r="A18" t="s">
        <v>128</v>
      </c>
      <c r="B18" s="1" t="s">
        <v>129</v>
      </c>
      <c r="C18" s="2">
        <v>46109.623738425929</v>
      </c>
      <c r="D18" s="1" t="s">
        <v>130</v>
      </c>
      <c r="E18" s="1" t="s">
        <v>131</v>
      </c>
      <c r="F18" s="3" t="s">
        <v>132</v>
      </c>
      <c r="G18" s="1" t="s">
        <v>133</v>
      </c>
      <c r="H18" s="4">
        <v>46100.833333333343</v>
      </c>
      <c r="I18" s="4">
        <v>46202</v>
      </c>
      <c r="J18" s="5">
        <v>165000</v>
      </c>
      <c r="M18" s="1" t="s">
        <v>26</v>
      </c>
      <c r="N18" s="1" t="s">
        <v>71</v>
      </c>
      <c r="O18" s="6">
        <f t="shared" si="0"/>
        <v>40</v>
      </c>
      <c r="P18" s="2">
        <v>46027.559606481482</v>
      </c>
      <c r="Q18" s="2">
        <v>46109.457071759258</v>
      </c>
      <c r="S18" s="1" t="s">
        <v>58</v>
      </c>
    </row>
    <row r="19" spans="1:19" ht="102" customHeight="1">
      <c r="A19" t="s">
        <v>134</v>
      </c>
      <c r="B19" s="1" t="s">
        <v>135</v>
      </c>
      <c r="C19" s="2">
        <v>46084.939201388886</v>
      </c>
      <c r="D19" s="1" t="s">
        <v>136</v>
      </c>
      <c r="E19" s="1" t="s">
        <v>137</v>
      </c>
      <c r="F19" s="3" t="s">
        <v>138</v>
      </c>
      <c r="G19" s="1" t="s">
        <v>139</v>
      </c>
      <c r="H19" s="4">
        <v>46079.791666666657</v>
      </c>
      <c r="I19" s="4">
        <v>46202</v>
      </c>
      <c r="J19" s="5">
        <v>42900</v>
      </c>
      <c r="L19" s="1" t="s">
        <v>140</v>
      </c>
      <c r="M19" s="1" t="s">
        <v>26</v>
      </c>
      <c r="N19" s="1" t="s">
        <v>71</v>
      </c>
      <c r="O19" s="6">
        <f t="shared" si="0"/>
        <v>40</v>
      </c>
      <c r="P19" s="2">
        <v>45972.519189814811</v>
      </c>
      <c r="Q19" s="2">
        <v>46084.730868055558</v>
      </c>
      <c r="S19" s="1" t="s">
        <v>58</v>
      </c>
    </row>
    <row r="20" spans="1:19" ht="145.75" customHeight="1">
      <c r="A20" t="s">
        <v>141</v>
      </c>
      <c r="B20" s="1" t="s">
        <v>142</v>
      </c>
      <c r="C20" s="2">
        <v>46084.652060185188</v>
      </c>
      <c r="D20" s="1" t="s">
        <v>143</v>
      </c>
      <c r="E20" s="1" t="s">
        <v>144</v>
      </c>
      <c r="F20" s="3" t="s">
        <v>145</v>
      </c>
      <c r="G20" s="1" t="s">
        <v>146</v>
      </c>
      <c r="H20" s="4">
        <v>46093.833333333343</v>
      </c>
      <c r="I20" s="4">
        <v>46202</v>
      </c>
      <c r="J20" s="5">
        <v>103000</v>
      </c>
      <c r="M20" s="1" t="s">
        <v>26</v>
      </c>
      <c r="N20" s="1" t="s">
        <v>77</v>
      </c>
      <c r="O20" s="6">
        <f t="shared" si="0"/>
        <v>10</v>
      </c>
      <c r="P20" s="2">
        <v>45910.436203703714</v>
      </c>
      <c r="Q20" s="2">
        <v>46084.443726851852</v>
      </c>
      <c r="S20" s="1" t="s">
        <v>84</v>
      </c>
    </row>
    <row r="21" spans="1:19" ht="116.6" customHeight="1">
      <c r="A21" t="s">
        <v>147</v>
      </c>
      <c r="B21" s="1" t="s">
        <v>148</v>
      </c>
      <c r="C21" s="2">
        <v>46092.939074074071</v>
      </c>
      <c r="D21" s="1" t="s">
        <v>149</v>
      </c>
      <c r="E21" s="1" t="s">
        <v>150</v>
      </c>
      <c r="F21" s="3" t="s">
        <v>151</v>
      </c>
      <c r="G21" s="1" t="s">
        <v>152</v>
      </c>
      <c r="H21" s="4">
        <v>46093.833333333343</v>
      </c>
      <c r="I21" s="4">
        <v>46202</v>
      </c>
      <c r="J21" s="5">
        <v>124000</v>
      </c>
      <c r="M21" s="1" t="s">
        <v>26</v>
      </c>
      <c r="N21" s="1" t="s">
        <v>71</v>
      </c>
      <c r="O21" s="6">
        <f t="shared" si="0"/>
        <v>40</v>
      </c>
      <c r="P21" s="2">
        <v>46041.628136574072</v>
      </c>
      <c r="Q21" s="2">
        <v>46092.772407407407</v>
      </c>
      <c r="S21" s="1" t="s">
        <v>58</v>
      </c>
    </row>
    <row r="22" spans="1:19" ht="87.45" customHeight="1">
      <c r="A22" t="s">
        <v>153</v>
      </c>
      <c r="B22" s="1" t="s">
        <v>154</v>
      </c>
      <c r="C22" s="2">
        <v>46097.672395833331</v>
      </c>
      <c r="D22" s="1" t="s">
        <v>155</v>
      </c>
      <c r="E22" s="1" t="s">
        <v>156</v>
      </c>
      <c r="F22" s="3" t="s">
        <v>157</v>
      </c>
      <c r="G22" s="1" t="s">
        <v>158</v>
      </c>
      <c r="H22" s="4">
        <v>46107.833333333343</v>
      </c>
      <c r="I22" s="4">
        <v>46202</v>
      </c>
      <c r="J22" s="5">
        <v>327000</v>
      </c>
      <c r="M22" s="1" t="s">
        <v>26</v>
      </c>
      <c r="N22" s="1" t="s">
        <v>71</v>
      </c>
      <c r="O22" s="6">
        <f t="shared" si="0"/>
        <v>40</v>
      </c>
      <c r="P22" s="2">
        <v>46070.580914351849</v>
      </c>
      <c r="Q22" s="2">
        <v>46097.505729166667</v>
      </c>
      <c r="S22" s="1" t="s">
        <v>58</v>
      </c>
    </row>
    <row r="23" spans="1:19" ht="160.30000000000001" customHeight="1">
      <c r="A23" t="s">
        <v>159</v>
      </c>
      <c r="B23" s="1" t="s">
        <v>160</v>
      </c>
      <c r="C23" s="2">
        <v>46092.92459490741</v>
      </c>
      <c r="D23" s="1" t="s">
        <v>161</v>
      </c>
      <c r="E23" s="1" t="s">
        <v>162</v>
      </c>
      <c r="F23" s="3" t="s">
        <v>163</v>
      </c>
      <c r="G23" s="1" t="s">
        <v>164</v>
      </c>
      <c r="H23" s="4">
        <v>46100.833333333343</v>
      </c>
      <c r="I23" s="4">
        <v>46202</v>
      </c>
      <c r="J23" s="5">
        <v>289000</v>
      </c>
      <c r="M23" s="1" t="s">
        <v>26</v>
      </c>
      <c r="N23" s="1" t="s">
        <v>71</v>
      </c>
      <c r="O23" s="6">
        <f t="shared" si="0"/>
        <v>10</v>
      </c>
      <c r="P23" s="2">
        <v>46027.550219907411</v>
      </c>
      <c r="Q23" s="2">
        <v>46092.757928240739</v>
      </c>
      <c r="S23" s="1" t="s">
        <v>84</v>
      </c>
    </row>
    <row r="24" spans="1:19" ht="145.75" customHeight="1">
      <c r="A24" t="s">
        <v>165</v>
      </c>
      <c r="B24" s="1" t="s">
        <v>166</v>
      </c>
      <c r="C24" s="2">
        <v>46092.904513888891</v>
      </c>
      <c r="D24" s="1" t="s">
        <v>167</v>
      </c>
      <c r="E24" s="1" t="s">
        <v>168</v>
      </c>
      <c r="F24" s="3" t="s">
        <v>169</v>
      </c>
      <c r="G24" s="1" t="s">
        <v>170</v>
      </c>
      <c r="H24" s="4">
        <v>46142.833333333343</v>
      </c>
      <c r="I24" s="4">
        <v>46202</v>
      </c>
      <c r="J24" s="5">
        <v>107000</v>
      </c>
      <c r="M24" s="1" t="s">
        <v>26</v>
      </c>
      <c r="N24" s="1" t="s">
        <v>77</v>
      </c>
      <c r="O24" s="6">
        <f t="shared" si="0"/>
        <v>0</v>
      </c>
      <c r="P24" s="2">
        <v>45985.531354166669</v>
      </c>
      <c r="Q24" s="2">
        <v>46092.737847222219</v>
      </c>
      <c r="S24" s="1" t="s">
        <v>78</v>
      </c>
    </row>
    <row r="25" spans="1:19" ht="204" customHeight="1">
      <c r="A25" t="s">
        <v>171</v>
      </c>
      <c r="B25" s="1" t="s">
        <v>172</v>
      </c>
      <c r="C25" s="2">
        <v>46092.939305555563</v>
      </c>
      <c r="D25" s="1" t="s">
        <v>173</v>
      </c>
      <c r="E25" s="1" t="s">
        <v>174</v>
      </c>
      <c r="F25" s="3" t="s">
        <v>175</v>
      </c>
      <c r="G25" s="1" t="s">
        <v>176</v>
      </c>
      <c r="H25" s="4">
        <v>46114.833333333343</v>
      </c>
      <c r="I25" s="4">
        <v>46202</v>
      </c>
      <c r="J25" s="5">
        <v>54700</v>
      </c>
      <c r="L25" s="1" t="s">
        <v>177</v>
      </c>
      <c r="M25" s="1" t="s">
        <v>26</v>
      </c>
      <c r="N25" s="1" t="s">
        <v>90</v>
      </c>
      <c r="O25" s="6">
        <f t="shared" si="0"/>
        <v>40</v>
      </c>
      <c r="P25" s="2">
        <v>45692.163298611107</v>
      </c>
      <c r="Q25" s="2">
        <v>46092.772638888891</v>
      </c>
      <c r="R25" s="1" t="s">
        <v>178</v>
      </c>
      <c r="S25" s="1" t="s">
        <v>58</v>
      </c>
    </row>
    <row r="26" spans="1:19" ht="131.15" customHeight="1">
      <c r="A26" t="s">
        <v>179</v>
      </c>
      <c r="B26" s="1" t="s">
        <v>180</v>
      </c>
      <c r="C26" s="2">
        <v>46092.925995370373</v>
      </c>
      <c r="D26" s="1" t="s">
        <v>181</v>
      </c>
      <c r="E26" s="1" t="s">
        <v>182</v>
      </c>
      <c r="F26" s="3" t="s">
        <v>183</v>
      </c>
      <c r="G26" s="1" t="s">
        <v>184</v>
      </c>
      <c r="H26" s="4">
        <v>46107.833333333343</v>
      </c>
      <c r="I26" s="4">
        <v>46202</v>
      </c>
      <c r="J26" s="5">
        <v>293000</v>
      </c>
      <c r="L26" s="1" t="s">
        <v>185</v>
      </c>
      <c r="M26" s="1" t="s">
        <v>26</v>
      </c>
      <c r="N26" s="1" t="s">
        <v>27</v>
      </c>
      <c r="O26" s="6">
        <f t="shared" si="0"/>
        <v>40</v>
      </c>
      <c r="P26" s="2">
        <v>45975.529849537037</v>
      </c>
      <c r="Q26" s="2">
        <v>46092.759328703702</v>
      </c>
      <c r="S26" s="1" t="s">
        <v>58</v>
      </c>
    </row>
    <row r="27" spans="1:19" ht="409.6" customHeight="1">
      <c r="A27" t="s">
        <v>186</v>
      </c>
      <c r="B27" s="1" t="s">
        <v>187</v>
      </c>
      <c r="C27" s="2">
        <v>46103.988796296297</v>
      </c>
      <c r="D27" s="1" t="s">
        <v>188</v>
      </c>
      <c r="E27" s="1" t="s">
        <v>55</v>
      </c>
      <c r="F27" s="3" t="s">
        <v>189</v>
      </c>
      <c r="G27" s="1" t="s">
        <v>190</v>
      </c>
      <c r="H27" s="4">
        <v>46107.833333333343</v>
      </c>
      <c r="I27" s="4">
        <v>46202</v>
      </c>
      <c r="J27" s="5">
        <v>179000</v>
      </c>
      <c r="M27" s="1" t="s">
        <v>26</v>
      </c>
      <c r="N27" s="1" t="s">
        <v>90</v>
      </c>
      <c r="O27" s="6">
        <f t="shared" si="0"/>
        <v>40</v>
      </c>
      <c r="P27" s="2">
        <v>46059.442361111112</v>
      </c>
      <c r="Q27" s="2">
        <v>46103.822129629632</v>
      </c>
      <c r="S27" s="1" t="s">
        <v>58</v>
      </c>
    </row>
    <row r="28" spans="1:19" ht="29.15" customHeight="1">
      <c r="A28" t="s">
        <v>191</v>
      </c>
      <c r="B28" s="1" t="s">
        <v>192</v>
      </c>
      <c r="C28" s="2">
        <v>46092.937858796293</v>
      </c>
      <c r="D28" s="1" t="s">
        <v>193</v>
      </c>
      <c r="E28" s="1" t="s">
        <v>162</v>
      </c>
      <c r="F28" s="3" t="s">
        <v>194</v>
      </c>
      <c r="G28" s="1" t="s">
        <v>195</v>
      </c>
      <c r="H28" s="4">
        <v>46037.791666666657</v>
      </c>
      <c r="I28" s="4">
        <v>46293</v>
      </c>
      <c r="J28" s="5">
        <v>62300</v>
      </c>
      <c r="L28" s="1" t="s">
        <v>196</v>
      </c>
      <c r="M28" s="1" t="s">
        <v>26</v>
      </c>
      <c r="N28" s="1" t="s">
        <v>71</v>
      </c>
      <c r="O28" s="6">
        <f t="shared" si="0"/>
        <v>10</v>
      </c>
      <c r="P28" s="2">
        <v>45756.582337962973</v>
      </c>
      <c r="Q28" s="2">
        <v>46092.771192129629</v>
      </c>
      <c r="S28" s="1" t="s">
        <v>84</v>
      </c>
    </row>
    <row r="29" spans="1:19" ht="409.6" customHeight="1">
      <c r="A29" t="s">
        <v>197</v>
      </c>
      <c r="B29" s="1" t="s">
        <v>198</v>
      </c>
      <c r="C29" s="2">
        <v>46109.60869212963</v>
      </c>
      <c r="D29" s="1" t="s">
        <v>199</v>
      </c>
      <c r="E29" s="1" t="s">
        <v>200</v>
      </c>
      <c r="F29" s="3" t="s">
        <v>201</v>
      </c>
      <c r="G29" s="1" t="s">
        <v>202</v>
      </c>
      <c r="H29" s="4">
        <v>46135.833333333343</v>
      </c>
      <c r="I29" s="4">
        <v>46293</v>
      </c>
      <c r="J29" s="5">
        <v>122000</v>
      </c>
      <c r="M29" s="1" t="s">
        <v>26</v>
      </c>
      <c r="N29" s="1" t="s">
        <v>71</v>
      </c>
      <c r="O29" s="6">
        <f t="shared" si="0"/>
        <v>0</v>
      </c>
      <c r="P29" s="2">
        <v>46003.842118055552</v>
      </c>
      <c r="Q29" s="2">
        <v>46109.442025462973</v>
      </c>
      <c r="S29" s="1" t="s">
        <v>78</v>
      </c>
    </row>
    <row r="30" spans="1:19" ht="116.6" customHeight="1">
      <c r="A30" t="s">
        <v>203</v>
      </c>
      <c r="B30" s="1" t="s">
        <v>204</v>
      </c>
      <c r="C30" s="2">
        <v>46109.610173611109</v>
      </c>
      <c r="D30" s="1" t="s">
        <v>205</v>
      </c>
      <c r="E30" s="1" t="s">
        <v>22</v>
      </c>
      <c r="F30" s="3" t="s">
        <v>206</v>
      </c>
      <c r="G30" s="1" t="s">
        <v>207</v>
      </c>
      <c r="H30" s="4">
        <v>46107.833333333343</v>
      </c>
      <c r="I30" s="4">
        <v>46293</v>
      </c>
      <c r="J30" s="5">
        <v>90600</v>
      </c>
      <c r="M30" s="1" t="s">
        <v>26</v>
      </c>
      <c r="N30" s="1" t="s">
        <v>71</v>
      </c>
      <c r="O30" s="6">
        <f t="shared" si="0"/>
        <v>10</v>
      </c>
      <c r="P30" s="2">
        <v>46048.655833333331</v>
      </c>
      <c r="Q30" s="2">
        <v>46109.443506944437</v>
      </c>
      <c r="S30" s="1" t="s">
        <v>84</v>
      </c>
    </row>
    <row r="31" spans="1:19">
      <c r="A31" t="s">
        <v>208</v>
      </c>
      <c r="B31" s="1" t="s">
        <v>209</v>
      </c>
      <c r="C31" s="2">
        <v>46109.610590277778</v>
      </c>
      <c r="D31" s="1" t="s">
        <v>210</v>
      </c>
      <c r="E31" s="1" t="s">
        <v>39</v>
      </c>
      <c r="G31" s="1" t="s">
        <v>211</v>
      </c>
      <c r="H31" s="4">
        <v>46107.833333333343</v>
      </c>
      <c r="I31" s="4">
        <v>46293</v>
      </c>
      <c r="J31" s="5">
        <v>113000</v>
      </c>
      <c r="L31" s="1" t="s">
        <v>42</v>
      </c>
      <c r="M31" s="1" t="s">
        <v>26</v>
      </c>
      <c r="N31" s="1" t="s">
        <v>90</v>
      </c>
      <c r="O31" s="6">
        <f t="shared" si="0"/>
        <v>40</v>
      </c>
      <c r="P31" s="2">
        <v>46075.854270833333</v>
      </c>
      <c r="Q31" s="2">
        <v>46109.443923611107</v>
      </c>
      <c r="S31" s="1" t="s">
        <v>58</v>
      </c>
    </row>
    <row r="32" spans="1:19">
      <c r="A32" t="s">
        <v>212</v>
      </c>
      <c r="B32" s="1" t="s">
        <v>213</v>
      </c>
      <c r="C32" s="2">
        <v>46109.618576388893</v>
      </c>
      <c r="D32" s="1" t="s">
        <v>214</v>
      </c>
      <c r="E32" s="1" t="s">
        <v>215</v>
      </c>
      <c r="H32" s="4">
        <v>46058.791666666657</v>
      </c>
      <c r="I32" s="4">
        <v>46293</v>
      </c>
      <c r="J32" s="5">
        <v>83100</v>
      </c>
      <c r="M32" s="1" t="s">
        <v>26</v>
      </c>
      <c r="N32" s="1" t="s">
        <v>77</v>
      </c>
      <c r="O32" s="6">
        <f t="shared" si="0"/>
        <v>0</v>
      </c>
      <c r="P32" s="2">
        <v>46043.559791666667</v>
      </c>
      <c r="Q32" s="2">
        <v>46109.451909722222</v>
      </c>
      <c r="S32" s="1" t="s">
        <v>78</v>
      </c>
    </row>
    <row r="33" spans="1:19" ht="102" customHeight="1">
      <c r="A33" t="s">
        <v>216</v>
      </c>
      <c r="B33" s="1" t="s">
        <v>217</v>
      </c>
      <c r="C33" s="2">
        <v>46109.610821759263</v>
      </c>
      <c r="D33" s="1" t="s">
        <v>218</v>
      </c>
      <c r="E33" s="1" t="s">
        <v>219</v>
      </c>
      <c r="F33" s="3" t="s">
        <v>220</v>
      </c>
      <c r="G33" s="1" t="s">
        <v>221</v>
      </c>
      <c r="H33" s="4">
        <v>45890.833333333343</v>
      </c>
      <c r="I33" s="4">
        <v>46293</v>
      </c>
      <c r="J33" s="5">
        <v>48200</v>
      </c>
      <c r="L33" s="1" t="s">
        <v>222</v>
      </c>
      <c r="M33" s="1" t="s">
        <v>26</v>
      </c>
      <c r="N33" s="1" t="s">
        <v>71</v>
      </c>
      <c r="O33" s="6">
        <f t="shared" si="0"/>
        <v>40</v>
      </c>
      <c r="P33" s="2">
        <v>45694.632997685178</v>
      </c>
      <c r="Q33" s="2">
        <v>46109.444155092591</v>
      </c>
      <c r="S33" s="1" t="s">
        <v>58</v>
      </c>
    </row>
    <row r="34" spans="1:19" ht="409.6" customHeight="1">
      <c r="A34" t="s">
        <v>223</v>
      </c>
      <c r="B34" s="1" t="s">
        <v>224</v>
      </c>
      <c r="C34" s="2">
        <v>46109.611643518518</v>
      </c>
      <c r="D34" s="1" t="s">
        <v>225</v>
      </c>
      <c r="E34" s="1" t="s">
        <v>226</v>
      </c>
      <c r="F34" s="3" t="s">
        <v>227</v>
      </c>
      <c r="G34" s="1" t="s">
        <v>228</v>
      </c>
      <c r="H34" s="4">
        <v>46093.833333333343</v>
      </c>
      <c r="I34" s="4">
        <v>46293</v>
      </c>
      <c r="J34" s="5">
        <v>64300</v>
      </c>
      <c r="L34" s="1" t="s">
        <v>229</v>
      </c>
      <c r="M34" s="1" t="s">
        <v>26</v>
      </c>
      <c r="N34" s="1" t="s">
        <v>71</v>
      </c>
      <c r="O34" s="6">
        <f t="shared" ref="O34:O61" si="1">IF(S34="","",VALUE(LEFT(S34,FIND("%",S34)-1)))</f>
        <v>40</v>
      </c>
      <c r="P34" s="2">
        <v>45716.832083333327</v>
      </c>
      <c r="Q34" s="2">
        <v>46109.444976851853</v>
      </c>
      <c r="S34" s="1" t="s">
        <v>58</v>
      </c>
    </row>
    <row r="35" spans="1:19" ht="116.6" customHeight="1">
      <c r="A35" t="s">
        <v>230</v>
      </c>
      <c r="B35" s="1" t="s">
        <v>231</v>
      </c>
      <c r="C35" s="2">
        <v>46109.619120370371</v>
      </c>
      <c r="D35" s="1" t="s">
        <v>232</v>
      </c>
      <c r="E35" s="1" t="s">
        <v>233</v>
      </c>
      <c r="F35" s="3" t="s">
        <v>234</v>
      </c>
      <c r="G35" s="1" t="s">
        <v>235</v>
      </c>
      <c r="H35" s="4">
        <v>46138.833333333343</v>
      </c>
      <c r="I35" s="4">
        <v>46293</v>
      </c>
      <c r="J35" s="5">
        <v>186000</v>
      </c>
      <c r="M35" s="1" t="s">
        <v>26</v>
      </c>
      <c r="N35" s="1" t="s">
        <v>77</v>
      </c>
      <c r="O35" s="6">
        <f t="shared" si="1"/>
        <v>10</v>
      </c>
      <c r="P35" s="2">
        <v>46051.675254629627</v>
      </c>
      <c r="Q35" s="2">
        <v>46109.452453703707</v>
      </c>
      <c r="S35" s="1" t="s">
        <v>84</v>
      </c>
    </row>
    <row r="36" spans="1:19" ht="43.75" customHeight="1">
      <c r="A36" t="s">
        <v>236</v>
      </c>
      <c r="B36" s="1" t="s">
        <v>237</v>
      </c>
      <c r="C36" s="2">
        <v>46109.619351851848</v>
      </c>
      <c r="D36" s="1" t="s">
        <v>238</v>
      </c>
      <c r="E36" s="1" t="s">
        <v>239</v>
      </c>
      <c r="F36" s="3" t="s">
        <v>240</v>
      </c>
      <c r="G36" s="1" t="s">
        <v>241</v>
      </c>
      <c r="H36" s="4">
        <v>46261.833333333343</v>
      </c>
      <c r="I36" s="4">
        <v>46293</v>
      </c>
      <c r="J36" s="5">
        <v>42800</v>
      </c>
      <c r="M36" s="1" t="s">
        <v>26</v>
      </c>
      <c r="N36" s="1" t="s">
        <v>90</v>
      </c>
      <c r="O36" s="6">
        <f t="shared" si="1"/>
        <v>40</v>
      </c>
      <c r="P36" s="2">
        <v>45797.634502314817</v>
      </c>
      <c r="Q36" s="2">
        <v>46109.452685185177</v>
      </c>
      <c r="R36" s="1" t="s">
        <v>178</v>
      </c>
      <c r="S36" s="1" t="s">
        <v>58</v>
      </c>
    </row>
    <row r="37" spans="1:19">
      <c r="A37" t="s">
        <v>242</v>
      </c>
      <c r="B37" s="1" t="s">
        <v>243</v>
      </c>
      <c r="C37" s="2">
        <v>46109.613946759258</v>
      </c>
      <c r="D37" s="1" t="s">
        <v>244</v>
      </c>
      <c r="E37" s="1" t="s">
        <v>68</v>
      </c>
      <c r="I37" s="4">
        <v>46293</v>
      </c>
      <c r="J37" s="5">
        <v>200000</v>
      </c>
      <c r="M37" s="1" t="s">
        <v>26</v>
      </c>
      <c r="N37" s="1" t="s">
        <v>77</v>
      </c>
      <c r="O37" s="6">
        <f t="shared" si="1"/>
        <v>10</v>
      </c>
      <c r="P37" s="2">
        <v>46104.946770833332</v>
      </c>
      <c r="Q37" s="2">
        <v>46109.447280092587</v>
      </c>
      <c r="S37" s="1" t="s">
        <v>84</v>
      </c>
    </row>
    <row r="38" spans="1:19" ht="29.15" customHeight="1">
      <c r="A38" t="s">
        <v>245</v>
      </c>
      <c r="B38" s="1" t="s">
        <v>246</v>
      </c>
      <c r="C38" s="2">
        <v>46109.614317129628</v>
      </c>
      <c r="D38" s="1" t="s">
        <v>247</v>
      </c>
      <c r="E38" s="1" t="s">
        <v>248</v>
      </c>
      <c r="F38" s="3" t="s">
        <v>249</v>
      </c>
      <c r="G38" s="1" t="s">
        <v>250</v>
      </c>
      <c r="H38" s="4">
        <v>46021.791666666657</v>
      </c>
      <c r="I38" s="4">
        <v>46293</v>
      </c>
      <c r="J38" s="5">
        <v>242000</v>
      </c>
      <c r="M38" s="1" t="s">
        <v>26</v>
      </c>
      <c r="N38" s="1" t="s">
        <v>71</v>
      </c>
      <c r="O38" s="6">
        <f t="shared" si="1"/>
        <v>40</v>
      </c>
      <c r="P38" s="2">
        <v>45916.398240740738</v>
      </c>
      <c r="Q38" s="2">
        <v>46109.447650462957</v>
      </c>
      <c r="S38" s="1" t="s">
        <v>58</v>
      </c>
    </row>
    <row r="39" spans="1:19" ht="247.75" customHeight="1">
      <c r="A39" t="s">
        <v>251</v>
      </c>
      <c r="B39" s="1" t="s">
        <v>252</v>
      </c>
      <c r="C39" s="2">
        <v>46109.614664351851</v>
      </c>
      <c r="D39" s="1" t="s">
        <v>253</v>
      </c>
      <c r="E39" s="1" t="s">
        <v>254</v>
      </c>
      <c r="F39" s="3" t="s">
        <v>255</v>
      </c>
      <c r="G39" s="1" t="s">
        <v>256</v>
      </c>
      <c r="H39" s="4">
        <v>46051.791666666657</v>
      </c>
      <c r="I39" s="4">
        <v>46293</v>
      </c>
      <c r="J39" s="5">
        <v>56400</v>
      </c>
      <c r="M39" s="1" t="s">
        <v>26</v>
      </c>
      <c r="N39" s="1" t="s">
        <v>77</v>
      </c>
      <c r="O39" s="6">
        <f t="shared" si="1"/>
        <v>10</v>
      </c>
      <c r="P39" s="2">
        <v>45978.42359953704</v>
      </c>
      <c r="Q39" s="2">
        <v>46109.447997685187</v>
      </c>
      <c r="S39" s="1" t="s">
        <v>84</v>
      </c>
    </row>
    <row r="40" spans="1:19">
      <c r="A40" t="s">
        <v>257</v>
      </c>
      <c r="B40" s="1" t="s">
        <v>258</v>
      </c>
      <c r="C40" s="2">
        <v>46109.614907407413</v>
      </c>
      <c r="D40" s="1" t="s">
        <v>259</v>
      </c>
      <c r="E40" s="1" t="s">
        <v>260</v>
      </c>
      <c r="F40" s="3" t="s">
        <v>261</v>
      </c>
      <c r="G40" s="1" t="s">
        <v>262</v>
      </c>
      <c r="H40" s="4">
        <v>46114.833333333343</v>
      </c>
      <c r="I40" s="4">
        <v>46293</v>
      </c>
      <c r="J40" s="5">
        <v>34300</v>
      </c>
      <c r="L40" s="1" t="s">
        <v>263</v>
      </c>
      <c r="M40" s="1" t="s">
        <v>26</v>
      </c>
      <c r="N40" s="1" t="s">
        <v>77</v>
      </c>
      <c r="O40" s="6">
        <f t="shared" si="1"/>
        <v>10</v>
      </c>
      <c r="P40" s="2">
        <v>45761.441967592589</v>
      </c>
      <c r="Q40" s="2">
        <v>46109.448240740741</v>
      </c>
      <c r="S40" s="1" t="s">
        <v>84</v>
      </c>
    </row>
    <row r="41" spans="1:19" ht="131.15" customHeight="1">
      <c r="A41" t="s">
        <v>264</v>
      </c>
      <c r="B41" s="1" t="s">
        <v>265</v>
      </c>
      <c r="C41" s="2">
        <v>46109.615717592591</v>
      </c>
      <c r="D41" s="1" t="s">
        <v>266</v>
      </c>
      <c r="E41" s="1" t="s">
        <v>267</v>
      </c>
      <c r="F41" s="3" t="s">
        <v>268</v>
      </c>
      <c r="G41" s="1" t="s">
        <v>269</v>
      </c>
      <c r="H41" s="4">
        <v>46044.791666666657</v>
      </c>
      <c r="I41" s="4">
        <v>46293</v>
      </c>
      <c r="J41" s="5">
        <v>151000</v>
      </c>
      <c r="M41" s="1" t="s">
        <v>26</v>
      </c>
      <c r="N41" s="1" t="s">
        <v>77</v>
      </c>
      <c r="O41" s="6">
        <f t="shared" si="1"/>
        <v>10</v>
      </c>
      <c r="P41" s="2">
        <v>46037.492858796293</v>
      </c>
      <c r="Q41" s="2">
        <v>46109.449050925927</v>
      </c>
      <c r="S41" s="1" t="s">
        <v>84</v>
      </c>
    </row>
    <row r="42" spans="1:19" ht="58.3" customHeight="1">
      <c r="A42" t="s">
        <v>270</v>
      </c>
      <c r="B42" s="1" t="s">
        <v>271</v>
      </c>
      <c r="C42" s="2">
        <v>46109.616018518522</v>
      </c>
      <c r="D42" s="1" t="s">
        <v>272</v>
      </c>
      <c r="E42" s="1" t="s">
        <v>112</v>
      </c>
      <c r="F42" s="3" t="s">
        <v>273</v>
      </c>
      <c r="G42" s="1" t="s">
        <v>274</v>
      </c>
      <c r="H42" s="4">
        <v>46166.833333333343</v>
      </c>
      <c r="I42" s="4">
        <v>46293</v>
      </c>
      <c r="J42" s="5">
        <v>192000</v>
      </c>
      <c r="L42" s="1" t="s">
        <v>115</v>
      </c>
      <c r="M42" s="1" t="s">
        <v>26</v>
      </c>
      <c r="N42" s="1" t="s">
        <v>71</v>
      </c>
      <c r="O42" s="6">
        <f t="shared" si="1"/>
        <v>10</v>
      </c>
      <c r="P42" s="2">
        <v>45692.358391203707</v>
      </c>
      <c r="Q42" s="2">
        <v>46109.44935185185</v>
      </c>
      <c r="S42" s="1" t="s">
        <v>84</v>
      </c>
    </row>
    <row r="43" spans="1:19">
      <c r="A43" t="s">
        <v>275</v>
      </c>
      <c r="B43" s="1" t="s">
        <v>276</v>
      </c>
      <c r="C43" s="2">
        <v>46109.61886574074</v>
      </c>
      <c r="D43" s="1" t="s">
        <v>277</v>
      </c>
      <c r="E43" s="1" t="s">
        <v>278</v>
      </c>
      <c r="F43" s="3" t="s">
        <v>279</v>
      </c>
      <c r="G43" s="1" t="s">
        <v>280</v>
      </c>
      <c r="H43" s="4">
        <v>46163.833333333343</v>
      </c>
      <c r="I43" s="4">
        <v>46293</v>
      </c>
      <c r="J43" s="5">
        <v>86400</v>
      </c>
      <c r="L43" s="1" t="s">
        <v>281</v>
      </c>
      <c r="M43" s="1" t="s">
        <v>26</v>
      </c>
      <c r="N43" s="1" t="s">
        <v>71</v>
      </c>
      <c r="O43" s="6">
        <f t="shared" si="1"/>
        <v>10</v>
      </c>
      <c r="P43" s="2">
        <v>45725.816053240742</v>
      </c>
      <c r="Q43" s="2">
        <v>46109.452199074083</v>
      </c>
      <c r="S43" s="1" t="s">
        <v>84</v>
      </c>
    </row>
    <row r="44" spans="1:19" ht="29.15" customHeight="1">
      <c r="A44" t="s">
        <v>282</v>
      </c>
      <c r="B44" s="1" t="s">
        <v>283</v>
      </c>
      <c r="C44" s="2">
        <v>46109.616550925923</v>
      </c>
      <c r="D44" s="1" t="s">
        <v>284</v>
      </c>
      <c r="E44" s="1" t="s">
        <v>285</v>
      </c>
      <c r="F44" s="3" t="s">
        <v>286</v>
      </c>
      <c r="G44" s="1" t="s">
        <v>287</v>
      </c>
      <c r="H44" s="4">
        <v>46100.833333333343</v>
      </c>
      <c r="I44" s="4">
        <v>46293</v>
      </c>
      <c r="J44" s="5">
        <v>150000</v>
      </c>
      <c r="L44" s="1" t="s">
        <v>288</v>
      </c>
      <c r="M44" s="1" t="s">
        <v>26</v>
      </c>
      <c r="N44" s="1" t="s">
        <v>71</v>
      </c>
      <c r="O44" s="6">
        <f t="shared" si="1"/>
        <v>40</v>
      </c>
      <c r="P44" s="2">
        <v>45975.45380787037</v>
      </c>
      <c r="Q44" s="2">
        <v>46109.449884259258</v>
      </c>
      <c r="S44" s="1" t="s">
        <v>58</v>
      </c>
    </row>
    <row r="45" spans="1:19" ht="87.45" customHeight="1">
      <c r="A45" t="s">
        <v>289</v>
      </c>
      <c r="B45" s="1" t="s">
        <v>290</v>
      </c>
      <c r="C45" s="2">
        <v>46109.616851851853</v>
      </c>
      <c r="D45" s="1" t="s">
        <v>291</v>
      </c>
      <c r="E45" s="1" t="s">
        <v>112</v>
      </c>
      <c r="F45" s="3" t="s">
        <v>292</v>
      </c>
      <c r="G45" s="1" t="s">
        <v>293</v>
      </c>
      <c r="H45" s="4">
        <v>46079.791666666657</v>
      </c>
      <c r="I45" s="4">
        <v>46293</v>
      </c>
      <c r="J45" s="5">
        <v>144000</v>
      </c>
      <c r="L45" s="1" t="s">
        <v>294</v>
      </c>
      <c r="M45" s="1" t="s">
        <v>26</v>
      </c>
      <c r="N45" s="1" t="s">
        <v>90</v>
      </c>
      <c r="O45" s="6">
        <f t="shared" si="1"/>
        <v>40</v>
      </c>
      <c r="P45" s="2">
        <v>45915.49591435185</v>
      </c>
      <c r="Q45" s="2">
        <v>46109.450185185182</v>
      </c>
      <c r="S45" s="1" t="s">
        <v>58</v>
      </c>
    </row>
    <row r="46" spans="1:19" ht="102" customHeight="1">
      <c r="A46" t="s">
        <v>295</v>
      </c>
      <c r="B46" s="1" t="s">
        <v>296</v>
      </c>
      <c r="C46" s="2">
        <v>46109.617152777777</v>
      </c>
      <c r="D46" s="1" t="s">
        <v>297</v>
      </c>
      <c r="E46" s="1" t="s">
        <v>298</v>
      </c>
      <c r="F46" s="3" t="s">
        <v>299</v>
      </c>
      <c r="G46" s="1" t="s">
        <v>300</v>
      </c>
      <c r="H46" s="4">
        <v>46080.791666666657</v>
      </c>
      <c r="I46" s="4">
        <v>46293</v>
      </c>
      <c r="J46" s="5">
        <v>174000</v>
      </c>
      <c r="L46" s="1" t="s">
        <v>301</v>
      </c>
      <c r="M46" s="1" t="s">
        <v>26</v>
      </c>
      <c r="N46" s="1" t="s">
        <v>77</v>
      </c>
      <c r="O46" s="6">
        <f t="shared" si="1"/>
        <v>10</v>
      </c>
      <c r="P46" s="2">
        <v>45980.359780092593</v>
      </c>
      <c r="Q46" s="2">
        <v>46109.450486111113</v>
      </c>
      <c r="S46" s="1" t="s">
        <v>84</v>
      </c>
    </row>
    <row r="47" spans="1:19" ht="87.45" customHeight="1">
      <c r="A47" t="s">
        <v>302</v>
      </c>
      <c r="B47" s="1" t="s">
        <v>303</v>
      </c>
      <c r="C47" s="2">
        <v>46109.617430555547</v>
      </c>
      <c r="D47" s="1" t="s">
        <v>304</v>
      </c>
      <c r="E47" s="1" t="s">
        <v>112</v>
      </c>
      <c r="F47" s="3" t="s">
        <v>305</v>
      </c>
      <c r="G47" s="1" t="s">
        <v>293</v>
      </c>
      <c r="H47" s="4">
        <v>46079.791666666657</v>
      </c>
      <c r="I47" s="4">
        <v>46293</v>
      </c>
      <c r="J47" s="5">
        <v>20000</v>
      </c>
      <c r="L47" s="1" t="s">
        <v>294</v>
      </c>
      <c r="M47" s="1" t="s">
        <v>26</v>
      </c>
      <c r="N47" s="1" t="s">
        <v>90</v>
      </c>
      <c r="O47" s="6">
        <f t="shared" si="1"/>
        <v>40</v>
      </c>
      <c r="P47" s="2">
        <v>45915.506863425922</v>
      </c>
      <c r="Q47" s="2">
        <v>46109.45076388889</v>
      </c>
      <c r="S47" s="1" t="s">
        <v>58</v>
      </c>
    </row>
    <row r="48" spans="1:19" ht="43.75" customHeight="1">
      <c r="A48" t="s">
        <v>306</v>
      </c>
      <c r="B48" s="1" t="s">
        <v>307</v>
      </c>
      <c r="C48" s="2">
        <v>46109.617650462962</v>
      </c>
      <c r="D48" s="1" t="s">
        <v>308</v>
      </c>
      <c r="E48" s="1" t="s">
        <v>112</v>
      </c>
      <c r="F48" s="3" t="s">
        <v>309</v>
      </c>
      <c r="G48" s="1" t="s">
        <v>310</v>
      </c>
      <c r="H48" s="4">
        <v>46079.791666666657</v>
      </c>
      <c r="I48" s="4">
        <v>46293</v>
      </c>
      <c r="J48" s="5">
        <v>57000</v>
      </c>
      <c r="L48" s="1" t="s">
        <v>294</v>
      </c>
      <c r="M48" s="1" t="s">
        <v>26</v>
      </c>
      <c r="N48" s="1" t="s">
        <v>90</v>
      </c>
      <c r="O48" s="6">
        <f t="shared" si="1"/>
        <v>40</v>
      </c>
      <c r="P48" s="2">
        <v>46066.432500000003</v>
      </c>
      <c r="Q48" s="2">
        <v>46109.450983796298</v>
      </c>
      <c r="S48" s="1" t="s">
        <v>58</v>
      </c>
    </row>
    <row r="49" spans="1:19" ht="29.15" customHeight="1">
      <c r="A49" t="s">
        <v>311</v>
      </c>
      <c r="B49" s="1" t="s">
        <v>312</v>
      </c>
      <c r="C49" s="2">
        <v>46109.618298611109</v>
      </c>
      <c r="D49" s="1" t="s">
        <v>313</v>
      </c>
      <c r="E49" s="1" t="s">
        <v>314</v>
      </c>
      <c r="F49" s="3" t="s">
        <v>315</v>
      </c>
      <c r="G49" s="1" t="s">
        <v>316</v>
      </c>
      <c r="H49" s="4">
        <v>46093.833333333343</v>
      </c>
      <c r="I49" s="4">
        <v>46293</v>
      </c>
      <c r="J49" s="5">
        <v>46300</v>
      </c>
      <c r="L49" s="1" t="s">
        <v>317</v>
      </c>
      <c r="M49" s="1" t="s">
        <v>26</v>
      </c>
      <c r="N49" s="1" t="s">
        <v>71</v>
      </c>
      <c r="O49" s="6">
        <f t="shared" si="1"/>
        <v>40</v>
      </c>
      <c r="P49" s="2">
        <v>45761.471990740742</v>
      </c>
      <c r="Q49" s="2">
        <v>46109.451631944437</v>
      </c>
      <c r="S49" s="1" t="s">
        <v>58</v>
      </c>
    </row>
    <row r="50" spans="1:19" ht="43.75" customHeight="1">
      <c r="A50" t="s">
        <v>318</v>
      </c>
      <c r="B50" s="1" t="s">
        <v>319</v>
      </c>
      <c r="C50" s="2">
        <v>46092.908356481479</v>
      </c>
      <c r="D50" s="1" t="s">
        <v>320</v>
      </c>
      <c r="E50" s="1" t="s">
        <v>162</v>
      </c>
      <c r="F50" s="3" t="s">
        <v>321</v>
      </c>
      <c r="G50" s="1" t="s">
        <v>322</v>
      </c>
      <c r="H50" s="4">
        <v>46271.833333333343</v>
      </c>
      <c r="I50" s="4">
        <v>46300</v>
      </c>
      <c r="J50" s="5">
        <v>0</v>
      </c>
      <c r="L50" s="1" t="s">
        <v>196</v>
      </c>
      <c r="M50" s="1" t="s">
        <v>26</v>
      </c>
      <c r="N50" s="1" t="s">
        <v>77</v>
      </c>
      <c r="O50" s="6">
        <f t="shared" si="1"/>
        <v>10</v>
      </c>
      <c r="P50" s="2">
        <v>45901.66133101852</v>
      </c>
      <c r="Q50" s="2">
        <v>46092.741689814808</v>
      </c>
      <c r="S50" s="1" t="s">
        <v>84</v>
      </c>
    </row>
    <row r="51" spans="1:19" ht="29.15" customHeight="1">
      <c r="A51" t="s">
        <v>323</v>
      </c>
      <c r="B51" s="1" t="s">
        <v>324</v>
      </c>
      <c r="C51" s="2">
        <v>46108.883298611108</v>
      </c>
      <c r="D51" s="1" t="s">
        <v>325</v>
      </c>
      <c r="E51" s="1" t="s">
        <v>326</v>
      </c>
      <c r="F51" s="3" t="s">
        <v>327</v>
      </c>
      <c r="G51" s="1" t="s">
        <v>328</v>
      </c>
      <c r="H51" s="4">
        <v>46121.833333333343</v>
      </c>
      <c r="I51" s="4">
        <v>46356</v>
      </c>
      <c r="J51" s="5">
        <v>373000</v>
      </c>
      <c r="M51" s="1" t="s">
        <v>26</v>
      </c>
      <c r="N51" s="1" t="s">
        <v>77</v>
      </c>
      <c r="O51" s="6">
        <f t="shared" si="1"/>
        <v>0</v>
      </c>
      <c r="P51" s="2">
        <v>46108.714189814818</v>
      </c>
      <c r="Q51" s="2">
        <v>46108.716631944437</v>
      </c>
      <c r="S51" s="1" t="s">
        <v>78</v>
      </c>
    </row>
    <row r="52" spans="1:19" ht="43.75" customHeight="1">
      <c r="A52" t="s">
        <v>329</v>
      </c>
      <c r="B52" s="1" t="s">
        <v>330</v>
      </c>
      <c r="C52" s="2">
        <v>46109.623437499999</v>
      </c>
      <c r="D52" s="1" t="s">
        <v>331</v>
      </c>
      <c r="E52" s="1" t="s">
        <v>22</v>
      </c>
      <c r="F52" s="3" t="s">
        <v>332</v>
      </c>
      <c r="G52" s="1" t="s">
        <v>333</v>
      </c>
      <c r="H52" s="4">
        <v>46072.791666666657</v>
      </c>
      <c r="I52" s="4">
        <v>46384</v>
      </c>
      <c r="J52" s="5">
        <v>407000</v>
      </c>
      <c r="L52" s="1" t="s">
        <v>25</v>
      </c>
      <c r="M52" s="1" t="s">
        <v>26</v>
      </c>
      <c r="N52" s="1" t="s">
        <v>71</v>
      </c>
      <c r="O52" s="6">
        <f t="shared" si="1"/>
        <v>10</v>
      </c>
      <c r="P52" s="2">
        <v>45692.433541666673</v>
      </c>
      <c r="Q52" s="2">
        <v>46109.456770833327</v>
      </c>
      <c r="S52" s="1" t="s">
        <v>84</v>
      </c>
    </row>
    <row r="53" spans="1:19" ht="160.30000000000001" customHeight="1">
      <c r="A53" t="s">
        <v>334</v>
      </c>
      <c r="B53" s="1" t="s">
        <v>335</v>
      </c>
      <c r="C53" s="2">
        <v>46109.620324074072</v>
      </c>
      <c r="D53" s="1" t="s">
        <v>336</v>
      </c>
      <c r="E53" s="1" t="s">
        <v>337</v>
      </c>
      <c r="F53" s="3" t="s">
        <v>338</v>
      </c>
      <c r="G53" s="1" t="s">
        <v>339</v>
      </c>
      <c r="H53" s="4">
        <v>46149.833333333343</v>
      </c>
      <c r="I53" s="4">
        <v>46384</v>
      </c>
      <c r="J53" s="5">
        <v>45200</v>
      </c>
      <c r="L53" s="1" t="s">
        <v>340</v>
      </c>
      <c r="M53" s="1" t="s">
        <v>26</v>
      </c>
      <c r="N53" s="1" t="s">
        <v>77</v>
      </c>
      <c r="O53" s="6">
        <f t="shared" si="1"/>
        <v>10</v>
      </c>
      <c r="P53" s="2">
        <v>45901.850393518522</v>
      </c>
      <c r="Q53" s="2">
        <v>46109.453657407408</v>
      </c>
      <c r="S53" s="1" t="s">
        <v>84</v>
      </c>
    </row>
    <row r="54" spans="1:19" ht="43.75" customHeight="1">
      <c r="A54" t="s">
        <v>341</v>
      </c>
      <c r="B54" s="1" t="s">
        <v>342</v>
      </c>
      <c r="C54" s="2">
        <v>46109.620671296303</v>
      </c>
      <c r="D54" s="1" t="s">
        <v>343</v>
      </c>
      <c r="E54" s="1" t="s">
        <v>22</v>
      </c>
      <c r="F54" s="3" t="s">
        <v>344</v>
      </c>
      <c r="G54" s="1" t="s">
        <v>345</v>
      </c>
      <c r="H54" s="4">
        <v>46208.833333333343</v>
      </c>
      <c r="I54" s="4">
        <v>46384</v>
      </c>
      <c r="J54" s="5">
        <v>222000</v>
      </c>
      <c r="L54" s="1" t="s">
        <v>64</v>
      </c>
      <c r="M54" s="1" t="s">
        <v>26</v>
      </c>
      <c r="N54" s="1" t="s">
        <v>90</v>
      </c>
      <c r="O54" s="6">
        <f t="shared" si="1"/>
        <v>40</v>
      </c>
      <c r="P54" s="2">
        <v>45929.851481481477</v>
      </c>
      <c r="Q54" s="2">
        <v>46109.454004629632</v>
      </c>
      <c r="S54" s="1" t="s">
        <v>58</v>
      </c>
    </row>
    <row r="55" spans="1:19">
      <c r="A55" t="s">
        <v>346</v>
      </c>
      <c r="B55" s="1" t="s">
        <v>347</v>
      </c>
      <c r="C55" s="2">
        <v>46109.630381944437</v>
      </c>
      <c r="D55" s="1" t="s">
        <v>348</v>
      </c>
      <c r="E55" s="1" t="s">
        <v>349</v>
      </c>
      <c r="G55" s="1" t="s">
        <v>350</v>
      </c>
      <c r="H55" s="4">
        <v>46121.833333333343</v>
      </c>
      <c r="I55" s="4">
        <v>46384</v>
      </c>
      <c r="J55" s="5">
        <v>401000</v>
      </c>
      <c r="M55" s="1" t="s">
        <v>26</v>
      </c>
      <c r="N55" s="1" t="s">
        <v>77</v>
      </c>
      <c r="O55" s="6">
        <f t="shared" si="1"/>
        <v>10</v>
      </c>
      <c r="P55" s="2">
        <v>46109.460578703707</v>
      </c>
      <c r="Q55" s="2">
        <v>46109.46371527778</v>
      </c>
      <c r="S55" s="1" t="s">
        <v>84</v>
      </c>
    </row>
    <row r="56" spans="1:19">
      <c r="A56" t="s">
        <v>351</v>
      </c>
      <c r="B56" s="1" t="s">
        <v>352</v>
      </c>
      <c r="C56" s="2">
        <v>46109.612812500003</v>
      </c>
      <c r="D56" s="1" t="s">
        <v>353</v>
      </c>
      <c r="E56" s="1" t="s">
        <v>354</v>
      </c>
      <c r="G56" s="1" t="s">
        <v>355</v>
      </c>
      <c r="H56" s="4">
        <v>46051.791666666657</v>
      </c>
      <c r="I56" s="4">
        <v>46384</v>
      </c>
      <c r="J56" s="5">
        <v>0</v>
      </c>
      <c r="L56" s="1" t="s">
        <v>356</v>
      </c>
      <c r="M56" s="1" t="s">
        <v>26</v>
      </c>
      <c r="N56" s="1" t="s">
        <v>77</v>
      </c>
      <c r="O56" s="6">
        <f t="shared" si="1"/>
        <v>0</v>
      </c>
      <c r="P56" s="2">
        <v>45891.455740740741</v>
      </c>
      <c r="Q56" s="2">
        <v>46109.446145833332</v>
      </c>
      <c r="S56" s="1" t="s">
        <v>78</v>
      </c>
    </row>
    <row r="57" spans="1:19">
      <c r="A57" t="s">
        <v>357</v>
      </c>
      <c r="B57" s="1" t="s">
        <v>358</v>
      </c>
      <c r="C57" s="2">
        <v>46109.613194444442</v>
      </c>
      <c r="D57" s="1" t="s">
        <v>359</v>
      </c>
      <c r="E57" s="1" t="s">
        <v>39</v>
      </c>
      <c r="F57" s="3" t="s">
        <v>360</v>
      </c>
      <c r="G57" s="1" t="s">
        <v>361</v>
      </c>
      <c r="H57" s="4">
        <v>46107.833333333343</v>
      </c>
      <c r="I57" s="4">
        <v>46384</v>
      </c>
      <c r="J57" s="5">
        <v>288000</v>
      </c>
      <c r="L57" s="1" t="s">
        <v>42</v>
      </c>
      <c r="M57" s="1" t="s">
        <v>26</v>
      </c>
      <c r="N57" s="1" t="s">
        <v>90</v>
      </c>
      <c r="O57" s="6">
        <f t="shared" si="1"/>
        <v>40</v>
      </c>
      <c r="P57" s="2">
        <v>46075.860810185193</v>
      </c>
      <c r="Q57" s="2">
        <v>46109.446527777778</v>
      </c>
      <c r="S57" s="1" t="s">
        <v>58</v>
      </c>
    </row>
    <row r="58" spans="1:19" ht="87.45" customHeight="1">
      <c r="A58" t="s">
        <v>362</v>
      </c>
      <c r="B58" s="1" t="s">
        <v>363</v>
      </c>
      <c r="C58" s="2">
        <v>46092.938900462963</v>
      </c>
      <c r="D58" s="1" t="s">
        <v>364</v>
      </c>
      <c r="E58" s="1" t="s">
        <v>22</v>
      </c>
      <c r="F58" s="3" t="s">
        <v>365</v>
      </c>
      <c r="G58" s="1" t="s">
        <v>366</v>
      </c>
      <c r="H58" s="4">
        <v>46100.833333333343</v>
      </c>
      <c r="I58" s="4">
        <v>46384</v>
      </c>
      <c r="J58" s="5">
        <v>85200</v>
      </c>
      <c r="L58" s="1" t="s">
        <v>64</v>
      </c>
      <c r="M58" s="1" t="s">
        <v>26</v>
      </c>
      <c r="N58" s="1" t="s">
        <v>90</v>
      </c>
      <c r="O58" s="6">
        <f t="shared" si="1"/>
        <v>40</v>
      </c>
      <c r="P58" s="2">
        <v>45692.419027777767</v>
      </c>
      <c r="Q58" s="2">
        <v>46092.772233796299</v>
      </c>
      <c r="S58" s="1" t="s">
        <v>58</v>
      </c>
    </row>
    <row r="59" spans="1:19" ht="189.45" customHeight="1">
      <c r="A59" t="s">
        <v>367</v>
      </c>
      <c r="B59" s="1" t="s">
        <v>368</v>
      </c>
      <c r="C59" s="2">
        <v>46109.615416666667</v>
      </c>
      <c r="D59" s="1" t="s">
        <v>369</v>
      </c>
      <c r="E59" s="1" t="s">
        <v>370</v>
      </c>
      <c r="F59" s="3" t="s">
        <v>371</v>
      </c>
      <c r="G59" s="1" t="s">
        <v>372</v>
      </c>
      <c r="H59" s="4">
        <v>46100.833333333343</v>
      </c>
      <c r="I59" s="4">
        <v>46384</v>
      </c>
      <c r="J59" s="5">
        <v>53900</v>
      </c>
      <c r="L59" s="1" t="s">
        <v>373</v>
      </c>
      <c r="M59" s="1" t="s">
        <v>26</v>
      </c>
      <c r="N59" s="1" t="s">
        <v>71</v>
      </c>
      <c r="O59" s="6">
        <f t="shared" si="1"/>
        <v>10</v>
      </c>
      <c r="P59" s="2">
        <v>45799.490914351853</v>
      </c>
      <c r="Q59" s="2">
        <v>46109.448750000003</v>
      </c>
      <c r="S59" s="1" t="s">
        <v>84</v>
      </c>
    </row>
    <row r="60" spans="1:19" ht="306" customHeight="1">
      <c r="A60" t="s">
        <v>374</v>
      </c>
      <c r="B60" s="1" t="s">
        <v>375</v>
      </c>
      <c r="C60" s="2">
        <v>46092.557858796303</v>
      </c>
      <c r="D60" s="1" t="s">
        <v>376</v>
      </c>
      <c r="E60" s="1" t="s">
        <v>39</v>
      </c>
      <c r="F60" s="3" t="s">
        <v>377</v>
      </c>
      <c r="G60" s="1" t="s">
        <v>378</v>
      </c>
      <c r="H60" s="4">
        <v>46425.791666666657</v>
      </c>
      <c r="I60" s="4">
        <v>46461</v>
      </c>
      <c r="J60" s="5">
        <v>65400</v>
      </c>
      <c r="L60" s="1" t="s">
        <v>42</v>
      </c>
      <c r="M60" s="1" t="s">
        <v>26</v>
      </c>
      <c r="N60" s="1" t="s">
        <v>77</v>
      </c>
      <c r="O60" s="6">
        <f t="shared" si="1"/>
        <v>0</v>
      </c>
      <c r="P60" s="2">
        <v>46064.471284722233</v>
      </c>
      <c r="Q60" s="2">
        <v>46092.391192129631</v>
      </c>
      <c r="S60" s="1" t="s">
        <v>78</v>
      </c>
    </row>
    <row r="61" spans="1:19">
      <c r="A61" t="s">
        <v>379</v>
      </c>
      <c r="B61" s="1" t="s">
        <v>380</v>
      </c>
      <c r="C61" s="2">
        <v>46109.611284722218</v>
      </c>
      <c r="D61" s="1" t="s">
        <v>381</v>
      </c>
      <c r="E61" s="1" t="s">
        <v>382</v>
      </c>
      <c r="G61" s="1" t="s">
        <v>383</v>
      </c>
      <c r="H61" s="4">
        <v>46100.833333333343</v>
      </c>
      <c r="I61" s="4">
        <v>46475</v>
      </c>
      <c r="J61" s="5">
        <v>184000</v>
      </c>
      <c r="M61" s="1" t="s">
        <v>26</v>
      </c>
      <c r="N61" s="1" t="s">
        <v>77</v>
      </c>
      <c r="O61" s="6">
        <f t="shared" si="1"/>
        <v>0</v>
      </c>
      <c r="P61" s="2">
        <v>46097.565138888887</v>
      </c>
      <c r="Q61" s="2">
        <v>46109.444618055553</v>
      </c>
      <c r="S61" s="1" t="s">
        <v>78</v>
      </c>
    </row>
  </sheetData>
  <dataValidations count="13">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showInputMessage="1" showErrorMessage="1" errorTitle="Length Exceeded" error="This value must be less than or equal to 300 characters long." promptTitle="Text (required)" prompt="Maximum Length: 300 characters." sqref="D2:D1048576" xr:uid="{00000000-0002-0000-0000-000001000000}">
      <formula1>300</formula1>
    </dataValidation>
    <dataValidation showInputMessage="1" showErrorMessage="1" error=" " promptTitle="Lookup (required)" prompt="This Account record must already exist in Microsoft Dynamics 365 or in this source file." sqref="E2:E1048576" xr:uid="{00000000-0002-0000-0000-000002000000}"/>
    <dataValidation type="textLength" operator="lessThanOrEqual" allowBlank="1" showInputMessage="1" showErrorMessage="1" errorTitle="Length Exceeded" error="This value must be less than or equal to 2000 characters long." promptTitle="Text" prompt="Maximum Length: 2000 characters." sqref="F2:F1048576" xr:uid="{00000000-0002-0000-0000-000003000000}">
      <formula1>2000</formula1>
    </dataValidation>
    <dataValidation type="textLength" operator="lessThanOrEqual" allowBlank="1" showInputMessage="1" showErrorMessage="1" errorTitle="Length Exceeded" error="This value must be less than or equal to 10000 characters long." promptTitle="Text" prompt="Maximum Length: 10000 characters." sqref="G2:G1048576" xr:uid="{00000000-0002-0000-0000-000004000000}">
      <formula1>10000</formula1>
    </dataValidation>
    <dataValidation type="date" operator="greaterThanOrEqual" allowBlank="1" showInputMessage="1" showErrorMessage="1" errorTitle="Invalid Date" error="Next Step Due Date must be in the correct date format." promptTitle="Date" prompt=" " sqref="H2:H1048576" xr:uid="{00000000-0002-0000-0000-000005000000}">
      <formula1>1</formula1>
    </dataValidation>
    <dataValidation type="date" operator="greaterThanOrEqual" showInputMessage="1" showErrorMessage="1" errorTitle="Invalid Date" error="Est. close date must be in the correct date format." promptTitle="Date (required)" prompt=" " sqref="I2:I1048576" xr:uid="{00000000-0002-0000-0000-000006000000}">
      <formula1>1</formula1>
    </dataValidation>
    <dataValidation type="decimal" allowBlank="1" showInputMessage="1" showErrorMessage="1" errorTitle="Value beyond range" error="Est. revenue must be a number from -1000000000000 through 1000000000000." promptTitle="Decimal number" prompt="Minimum Value: -1000000000000._x000d__x000a_Maximum Value: 1000000000000._x000d__x000a_  " sqref="J2:J1048576" xr:uid="{00000000-0002-0000-0000-000007000000}">
      <formula1>-1000000000000</formula1>
      <formula2>1000000000000</formula2>
    </dataValidation>
    <dataValidation allowBlank="1" showInputMessage="1" showErrorMessage="1" error=" " promptTitle="Lookup" prompt="This Contact record must already exist in Microsoft Dynamics 365 or in this source file." sqref="L2:L1048576" xr:uid="{00000000-0002-0000-0000-000008000000}"/>
    <dataValidation type="decimal" allowBlank="1" showInputMessage="1" showErrorMessage="1" errorTitle="Value beyond range" error="Probability must be a whole number from 0 through 100." promptTitle="Whole number" prompt="Minimum Value: 0._x000d__x000a_Maximum Value: 100._x000d__x000a_  " sqref="O2:O1048576" xr:uid="{00000000-0002-0000-0000-000009000000}">
      <formula1>0</formula1>
      <formula2>100</formula2>
    </dataValidation>
    <dataValidation type="date" operator="greaterThanOrEqual" allowBlank="1" showInputMessage="1" showErrorMessage="1" errorTitle="Invalid Date" error="Created On must be in the correct date and time format." promptTitle="Date and time" prompt=" " sqref="P2:P1048576" xr:uid="{00000000-0002-0000-0000-00000A000000}">
      <formula1>1</formula1>
    </dataValidation>
    <dataValidation type="date" operator="greaterThanOrEqual" allowBlank="1" showInputMessage="1" showErrorMessage="1" errorTitle="Invalid Date" error="Modified On must be in the correct date and time format." promptTitle="Date and time" prompt=" " sqref="Q2:Q1048576" xr:uid="{00000000-0002-0000-0000-00000B000000}">
      <formula1>1</formula1>
    </dataValidation>
    <dataValidation allowBlank="1" showInputMessage="1" showErrorMessage="1" error=" " promptTitle="Lookup" prompt="This MSFT Workload Product record must already exist in Microsoft Dynamics 365 or in this source file." sqref="R2:R1048576" xr:uid="{00000000-0002-0000-0000-00000C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E5"/>
  <sheetViews>
    <sheetView workbookViewId="0"/>
  </sheetViews>
  <sheetFormatPr defaultRowHeight="14.6"/>
  <sheetData>
    <row r="1" spans="1:5">
      <c r="A1" t="s">
        <v>384</v>
      </c>
    </row>
    <row r="2" spans="1:5">
      <c r="A2" t="s">
        <v>385</v>
      </c>
      <c r="B2" t="s">
        <v>386</v>
      </c>
      <c r="C2" t="s">
        <v>387</v>
      </c>
      <c r="D2" t="s">
        <v>388</v>
      </c>
      <c r="E2" t="s">
        <v>389</v>
      </c>
    </row>
    <row r="3" spans="1:5">
      <c r="A3" t="s">
        <v>390</v>
      </c>
      <c r="B3" t="s">
        <v>26</v>
      </c>
      <c r="C3" t="s">
        <v>391</v>
      </c>
    </row>
    <row r="4" spans="1:5">
      <c r="A4" t="s">
        <v>77</v>
      </c>
      <c r="B4" t="s">
        <v>71</v>
      </c>
      <c r="C4" t="s">
        <v>90</v>
      </c>
      <c r="D4" t="s">
        <v>27</v>
      </c>
    </row>
    <row r="5" spans="1:5">
      <c r="A5" t="s">
        <v>78</v>
      </c>
      <c r="B5" t="s">
        <v>84</v>
      </c>
      <c r="C5" t="s">
        <v>58</v>
      </c>
      <c r="D5" t="s">
        <v>43</v>
      </c>
      <c r="E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Hans FY27 Opp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Hans Westphal</cp:lastModifiedBy>
  <dcterms:created xsi:type="dcterms:W3CDTF">2026-03-28T22:12:46Z</dcterms:created>
  <dcterms:modified xsi:type="dcterms:W3CDTF">2026-03-28T23:01:31Z</dcterms:modified>
</cp:coreProperties>
</file>