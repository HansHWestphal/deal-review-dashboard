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lithyaca-my.sharepoint.com/personal/hans_westphal_alithya_com/Documents/FY27/d365-personal-analytics-v2/public/data/"/>
    </mc:Choice>
  </mc:AlternateContent>
  <xr:revisionPtr revIDLastSave="3" documentId="13_ncr:1_{ACDBC4EC-E1DB-4B7B-B85B-CE05B26A1773}" xr6:coauthVersionLast="47" xr6:coauthVersionMax="47" xr10:uidLastSave="{1FF97411-215C-4607-9230-AD8BAA0C9289}"/>
  <bookViews>
    <workbookView xWindow="-103" yWindow="-103" windowWidth="22149" windowHeight="13200" xr2:uid="{00000000-000D-0000-FFFF-FFFF00000000}"/>
  </bookViews>
  <sheets>
    <sheet name="Hans FY27 Opp Tracker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1" i="1" l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<sst xmlns="http://schemas.openxmlformats.org/spreadsheetml/2006/main" count="616" uniqueCount="394">
  <si>
    <t>(Do Not Modify) Opportunity</t>
  </si>
  <si>
    <t>(Do Not Modify) Row Checksum</t>
  </si>
  <si>
    <t>(Do Not Modify) Modified On</t>
  </si>
  <si>
    <t>Opportunity Name</t>
  </si>
  <si>
    <t>Account</t>
  </si>
  <si>
    <t>Description</t>
  </si>
  <si>
    <t>Next Step</t>
  </si>
  <si>
    <t>Next Step Due Date</t>
  </si>
  <si>
    <t>Close Date</t>
  </si>
  <si>
    <t>Estimated Revenue (TCV)</t>
  </si>
  <si>
    <t>Timeline</t>
  </si>
  <si>
    <t>Contact</t>
  </si>
  <si>
    <t>Rating</t>
  </si>
  <si>
    <t>Sales Stage</t>
  </si>
  <si>
    <t>Created On</t>
  </si>
  <si>
    <t>Modified On</t>
  </si>
  <si>
    <t>Product</t>
  </si>
  <si>
    <t>Forecast Category</t>
  </si>
  <si>
    <t>Actual Revenue</t>
  </si>
  <si>
    <t>62fc5267-4803-4f6d-b4bb-1a40baf2ca2a</t>
  </si>
  <si>
    <t>JBbabsISzduNiAAWDraGsuuBkzO1ARwYjFPHhu1iwvlxRFq8Lw3awkCXrLejgjvJE9FigxYOzCBuvfnWKX5Mcw==</t>
  </si>
  <si>
    <t>Contoso Financial - Dynamics Modernization #001</t>
  </si>
  <si>
    <t>Contoso Financial</t>
  </si>
  <si>
    <t>Waiting on SOW signature sync meeting on Tuesday 3-24</t>
  </si>
  <si>
    <t>Alex Chen</t>
  </si>
  <si>
    <t>Warm</t>
  </si>
  <si>
    <t>Close</t>
  </si>
  <si>
    <t>Dynamics</t>
  </si>
  <si>
    <t>90% - Committed</t>
  </si>
  <si>
    <t>6e031790-9d58-406f-bb46-ccf68e13fed1</t>
  </si>
  <si>
    <t>Bs4UyDFY1KS2oARnTYGg0iM+oYvKl4NxOlFRcx5RLDoiOJYXw0T5ja+/TOPjU1YQbvq42/Ci39MsudlGEMK0oQ==</t>
  </si>
  <si>
    <t>Contoso Financial - CoPilot Migration #002</t>
  </si>
  <si>
    <t>Jordan Chen</t>
  </si>
  <si>
    <t>CoPilot</t>
  </si>
  <si>
    <t>250ff789-8847-4b3e-8c90-85adf95687e4</t>
  </si>
  <si>
    <t>iTRjEW2qf/g8kxhy95Wj5LAZjK0PJETHEMWIwqTX0zEX8ihdFwd7dzlEb389uTYLoPrriyKEfycr4k2+00vcrg==</t>
  </si>
  <si>
    <t>Northwind Digital - Workstream Enablement #003</t>
  </si>
  <si>
    <t>Northwind Digital</t>
  </si>
  <si>
    <t>Meeting Wednesday with Contoso Technology and MSFT to review proposal / Board meeting this week.</t>
  </si>
  <si>
    <t>Taylor Chen</t>
  </si>
  <si>
    <t>70% - Most Likely</t>
  </si>
  <si>
    <t>98b754ec-3e31-4e30-9516-502ae258e392</t>
  </si>
  <si>
    <t>In0taWlKaVMiMdHngXLWXh86ixNFzzR40K6xy+oxgFabrikam Financial2RYN2KIlCITkJva9MzMd5Nb+HVCm7FjqnEIOQEe54qw==</t>
  </si>
  <si>
    <t>Northwind Medical - Power Apps Governance #004</t>
  </si>
  <si>
    <t>Northwind Medical</t>
  </si>
  <si>
    <t>Waiting on Northwestern for SOW and MSA to be completed.</t>
  </si>
  <si>
    <t>Casey Chen</t>
  </si>
  <si>
    <t>Power Apps</t>
  </si>
  <si>
    <t>53ba6ef6-fc86-4fdd-a268-e43035996f5c</t>
  </si>
  <si>
    <t>tzs4od+SRLM/2OMYnUL3TzVrkcR0+g7VClxqb3QJBc5KHnnXdcgxYxYS6eXg3s9JsahTPX0GuK6x0gKjmtHGIw==</t>
  </si>
  <si>
    <t>Fabrikam Government Services - Workstream AI Pilot #005</t>
  </si>
  <si>
    <t>Fabrikam Government Services</t>
  </si>
  <si>
    <t>Walk through Draft SOW with Microsoft Team Tuesday.</t>
  </si>
  <si>
    <t>40% - Best Case</t>
  </si>
  <si>
    <t>cad2661d-fb29-47e6-b9b7-af66a342b3ec</t>
  </si>
  <si>
    <t>MeD9y0Hgc8m79MXHbaozqtefuHjft4W0XXHxRpfb3ccV4T6OF4F7dUlpb4HkBZmR2wWKCW+8ySOO2tc+yNdRHQ==</t>
  </si>
  <si>
    <t>Contoso Financial - Dynamics Automation #006</t>
  </si>
  <si>
    <t>Meeting with Engineering and Fraud meeting to discuss working parallel on requirements while governance work is in progress.</t>
  </si>
  <si>
    <t>Morgan Chen</t>
  </si>
  <si>
    <t>699cd9d2-2925-4e5a-a8df-86781b852c58</t>
  </si>
  <si>
    <t>/IXm2j9Qs5DzR0YUEvfWw8cGGZNa5nyiZ068kC1ht417XC8XUzMoj6pkf8tyrM9NbptTmnet4wcstfVY+LXMbw==</t>
  </si>
  <si>
    <t>Adatum Manufacturing - Dynamics Contact Center Upgrade #007</t>
  </si>
  <si>
    <t>Adatum Manufacturing</t>
  </si>
  <si>
    <t>Presented Pricing and licensing Waiting on Volcano Manufacturing for feedback.</t>
  </si>
  <si>
    <t>Develop</t>
  </si>
  <si>
    <t>130ea8e8-3432-418e-adcc-7bd01079928a</t>
  </si>
  <si>
    <t>gVUf/rGfeNpdo+EISXXjO7pBWdKw7ewOuz4N21XGCEgFQOvq4/UoS9xiL29XXHOpLO9TIL2omY4NskiBk42tyA==</t>
  </si>
  <si>
    <t>City Power &amp; Light - Workstream Project Ops Transition #008</t>
  </si>
  <si>
    <t>City Power &amp; Light</t>
  </si>
  <si>
    <t>Book discovery call</t>
  </si>
  <si>
    <t>Qualify</t>
  </si>
  <si>
    <t>0% - Qualifying</t>
  </si>
  <si>
    <t>665cab0b-cc1a-4579-a695-241b1a6cc16b</t>
  </si>
  <si>
    <t>J1j/atKjY9C6MTtSvry+Kr0flFVbddAFCiksG2lgDReAdYTF2orsuBWSX7IOlj12jCWRt3gbSSl6JI/manhEgA==</t>
  </si>
  <si>
    <t>Adatum Manufacturing - Workstream Digital Front Door #009</t>
  </si>
  <si>
    <t>Check point meeting with Microsoft team this week.</t>
  </si>
  <si>
    <t>10% - Pipeline</t>
  </si>
  <si>
    <t>bc33902c-bd65-47d8-812a-51f070a4d5f7</t>
  </si>
  <si>
    <t>SlbhfjRMN3LCAY0qaZuKYTfJHz1y5S9NsAEHrzQzWqGwOXGbUcCfXMRprvWgOXAWbAe0V4KiNR5xBcVW4+w+9g==</t>
  </si>
  <si>
    <t>Adatum Manufacturing - Workstream Process Mining Quick Start #010</t>
  </si>
  <si>
    <t>Sync with Microsoft Team and present Proposal and demo to Volcano Manufacturing team.</t>
  </si>
  <si>
    <t>Propose</t>
  </si>
  <si>
    <t>6cd0b6a1-2e37-4846-8e05-910ee6cc0644</t>
  </si>
  <si>
    <t>+E8ZdcUNEESbiqFabrikam FinancialbPEb+IJddkMgOFzHNBLaQo0dhreFVfzJ+1oJc0jDprx8n7FFU/VJFP4TrRiAJXByXvMQ5w==</t>
  </si>
  <si>
    <t>Fabrikam Industrial - Workstream RPA Consolidation #011</t>
  </si>
  <si>
    <t>Fabrikam Industrial</t>
  </si>
  <si>
    <t>Confirm scope complete vendor onboarding.</t>
  </si>
  <si>
    <t>Riley Chen</t>
  </si>
  <si>
    <t>ee306eb9-b197-48f1-9e4e-5256ff87de38</t>
  </si>
  <si>
    <t>MNq7uF4sU04EZATP0btHlHEdAowp+0Atl6mUdt8SS9s7hv8E/lUuwhWtJX5quS64CebNqUKmnW5M0ARP60+XoA==</t>
  </si>
  <si>
    <t>Fabrikam - Workstream Agent Accelerator #012</t>
  </si>
  <si>
    <t>Fabrikam</t>
  </si>
  <si>
    <t>Meeting with Fabrikam to review SOW, MSA and Data processing document this week.</t>
  </si>
  <si>
    <t>b993fec2-2725-43df-8453-b70503193272</t>
  </si>
  <si>
    <t>fXP1oJ0knhULuurBmVpyahJkccn7OacKcNzwLa0udn5ehi8wz8hxVNgEHamIif8kofB9reydeBqX79gs699vlg==</t>
  </si>
  <si>
    <t>Volcano Manufacturing - Workstream Code Review #013</t>
  </si>
  <si>
    <t>Volcano Manufacturing</t>
  </si>
  <si>
    <t>Ali Manek new rep from Salesforce just joined to qualify the opportunity with ATS</t>
  </si>
  <si>
    <t>88a99bee-ff86-4204-878e-f49d44661447</t>
  </si>
  <si>
    <t>Dulb/T9swJSiF3FyonXMWCWmyZzWPEaXUe90S3h51gXRl8gm+CJk9UwzDGvwPHh7TlyUd/pVYchY/qAQFMstFQ==</t>
  </si>
  <si>
    <t>Tailspin Retail Group - CoPilot Managed Services #014</t>
  </si>
  <si>
    <t>Tailspin Retail Group</t>
  </si>
  <si>
    <t>Technical deep dive with Northwind Traders team.</t>
  </si>
  <si>
    <t>Cameron Chen</t>
  </si>
  <si>
    <t>29171bc2-51c5-41af-a9a8-1dbd2dedb21c</t>
  </si>
  <si>
    <t>IGTwcAFlFfCbiTgpB8VckvCL0Ir0mTZ5urS+zl2EWERVdSr0r7ThVOdphYtcyUqFTguL2V+AXHAf29hIiF6IBQ==</t>
  </si>
  <si>
    <t>Woodgrove Utilities - Workstream Modernization #015</t>
  </si>
  <si>
    <t>Woodgrove Utilities</t>
  </si>
  <si>
    <t>Client meeting to discuss enablement and governance proposal</t>
  </si>
  <si>
    <t>9612b8b5-d4e3-4f8a-b12f-8fb6e113e68f</t>
  </si>
  <si>
    <t>Xbf2ikJd5yPgn1tNDVDVjbUz0VCpnssbWz9+qj7tF6wBi24e8O/+RzZ6bj7668+ozqb0uqxRHLolqFLw/xTGxA==</t>
  </si>
  <si>
    <t>Contoso Financial 7 - Workstream Migration #016</t>
  </si>
  <si>
    <t>Contoso Financial 7</t>
  </si>
  <si>
    <t>Check in meeting with Microsoft Rep Lydia to track progress .</t>
  </si>
  <si>
    <t>7a4b0417-12ed-4c4a-9d3c-679247e7bbf5</t>
  </si>
  <si>
    <t>bcej+dlN7zr8V4g8id6TCZHBKSS6zwqO0Uz7i0bD9F5bPVlPwRlt1KXIxHWHkenOlQ2V9rQDMFF6qOYz+jbx8w==</t>
  </si>
  <si>
    <t>Volcano Manufacturing 5 - Workstream Enablement #017</t>
  </si>
  <si>
    <t>Volcano Manufacturing 5</t>
  </si>
  <si>
    <t>Microsoft influencing no RFP -- standing by for intro. Microsoft to present ECIF in 2 weeks and proposal.</t>
  </si>
  <si>
    <t>73fd0bf3-b43e-467d-8f24-f99020c85601</t>
  </si>
  <si>
    <t>I/XQ55zthkFjQ8v9KI2g7218Qi7pvCMqWPd8iClDfwvpBX5MW4Vib2bZKPgwUwz+XFLLJhn2ROSJHEcXccakvw==</t>
  </si>
  <si>
    <t>Contoso Financial 2 - Workstream Governance #018</t>
  </si>
  <si>
    <t>Contoso Financial 2</t>
  </si>
  <si>
    <t>Meeting with Lifelabs this week to review Complexity report.</t>
  </si>
  <si>
    <t>Avery Chen</t>
  </si>
  <si>
    <t>03e47629-5ec8-4e74-ae76-c2d1e39cf5df</t>
  </si>
  <si>
    <t>seywHcnm04TlHjR48bngUFVGqQVUm6LFbM/oVe6hYqlDLARpbQioXwxK5OKx9y4YhvSSvJ2aLb+qHkdhxJwwQw==</t>
  </si>
  <si>
    <t>Contoso Health - Workstream AI Pilot #019</t>
  </si>
  <si>
    <t>Contoso Health</t>
  </si>
  <si>
    <t>Refine proposal with Digital Adoption and review with client next week.</t>
  </si>
  <si>
    <t>662017d1-d3db-4555-bca5-8cbccb568d44</t>
  </si>
  <si>
    <t>lVIrCFkQbR/uClER0szD1B1PVOQWpD0nJlEqvyCH5C2qaAFejyZxmUIfTbhDTOPf5AR3C9GKSTKsac9HSl9xTw==</t>
  </si>
  <si>
    <t>Contoso Financial 5 - Workstream Automation #020</t>
  </si>
  <si>
    <t>Contoso Financial 5</t>
  </si>
  <si>
    <t>Tangerine confirming funding.</t>
  </si>
  <si>
    <t>57a4fd91-a1a7-45b7-8a21-dfbaafc1deec</t>
  </si>
  <si>
    <t>JJXSfwqTMIA+4wZve3fWJPkIM+8bVJEDlYSdLNK8yjqSCoBH0hm/IX8emQTxCXutyLEk+D5qMB8vu+lLodaegQ==</t>
  </si>
  <si>
    <t>Adatum Solutions - Workstream Contact Center Upgrade #021</t>
  </si>
  <si>
    <t>Adatum Solutions</t>
  </si>
  <si>
    <t>STEP 3 – Migration Options Review Session
Tailored Recommendation Report: Presentation providing suggested solution and how it meeting your specific needs. Proposed Migration Plan Review: Proposed project plan, including schedule, proposed licensing and services required.
Session Outcome - A clear action plan to kick off the migration with a tentative start date.</t>
  </si>
  <si>
    <t>30127fc7-a566-46be-8278-da071be1ae41</t>
  </si>
  <si>
    <t>dtvCakJ/JDMbtUPd3RrbzVgKbQbx6yS3dHWaFUEOLr0QtnHTNACNIQPeD29LVK4fSWg5kUW9dO3v3bMUPK/HZQ==</t>
  </si>
  <si>
    <t>Volcano Manufacturing 2 - Workstream Project Ops Transition #022</t>
  </si>
  <si>
    <t>Volcano Manufacturing 2</t>
  </si>
  <si>
    <t>Standing by from Microsoft to engage</t>
  </si>
  <si>
    <t>6be598a1-499b-418f-b590-3044b7f295c4</t>
  </si>
  <si>
    <t>orQkghN4sanFGlFQzLmj9Aq/YYU4ilRJnjPV9cY+wOxEQ8l/DjFdBgvO0Jh6dSGO5PzwJWMxTKJaPz7XnRccGw==</t>
  </si>
  <si>
    <t>Contoso - Workstream Digital Front Door #023</t>
  </si>
  <si>
    <t>Contoso</t>
  </si>
  <si>
    <t>Reached out to AE from Microsoft to confirm opp and AI Business Solutions seller.</t>
  </si>
  <si>
    <t>b4a4a486-38c2-4945-ad2b-d767e2e69050</t>
  </si>
  <si>
    <t>/rSqAX/5WvfjCH0qqT6WmKqzdC4fnNruEucCvdKY6s27yZxuFVKmd8qPYaLlQebI0qbT2JPzkARpKN+paNzwGw==</t>
  </si>
  <si>
    <t>Northwind Traders - Power Automate Process Mining Quick Start #024</t>
  </si>
  <si>
    <t>Northwind Traders</t>
  </si>
  <si>
    <t>Need SOW like Northwestern for Home Hardware -- Copy paste.</t>
  </si>
  <si>
    <t>Quinn Chen</t>
  </si>
  <si>
    <t>Power Automate</t>
  </si>
  <si>
    <t>b5cf562d-ae2e-46d2-b4ab-89311c11897c</t>
  </si>
  <si>
    <t>5q2HdvpXjjsSB5FVEYTgh1av4MNS2iObA8Ln7tsjJN7vxtvADDtlmqD9M0pVSp5pJttvHoWGyl/ySC3twJsGbQ==</t>
  </si>
  <si>
    <t>Fabrikam Tech - Workstream RPA Consolidation #025</t>
  </si>
  <si>
    <t>Fabrikam Tech</t>
  </si>
  <si>
    <t>Waiting on Moneris given the org changes for this application Re platform decision.</t>
  </si>
  <si>
    <t>Parker Chen</t>
  </si>
  <si>
    <t>7424440b-0c26-4f51-a6bb-cfa13d3b0221</t>
  </si>
  <si>
    <t>298pRgiWMnTOsvCH4WlyP3L/yESV55U8ReGc/rfK+r7+XELXhaYK0f5sivUVgfMa0amy4VEAChEIMbV5+c0smA==</t>
  </si>
  <si>
    <t>Fabrikam Government Services - Workstream Agent Accelerator #026</t>
  </si>
  <si>
    <t>Review Solution Design with Ram then schedule review meeting with Marco/Pascale from Microsoft</t>
  </si>
  <si>
    <t>b533ae4f-092d-4b66-b2c8-ebe2e785c091</t>
  </si>
  <si>
    <t>wuOXUdsXck+NcWHsfsrUJMnuTuqLuMTrYzQ7mXdJYCplf+YnUmrjSA2D0ZMcNVMnef+ldL7BkB1Fabrikam Financial1CK1vRpBQ==</t>
  </si>
  <si>
    <t>Volcano Manufacturing 2 - Workstream Code Review #027</t>
  </si>
  <si>
    <t>Meet with Champion manager in New Year to review the proposal for Process to Agent Accelerator.</t>
  </si>
  <si>
    <t>Reese Chen</t>
  </si>
  <si>
    <t>d59eb207-59a4-49a3-aef9-52da9d657d24</t>
  </si>
  <si>
    <t>XQe81DZwqg0R9uNtfTNVl9dIGISmTkOuOQyYzTL3xGQRFgbUUd1nUXYgA/ynoSiBy15rvOpSAOAnMevKJcPj2Q==</t>
  </si>
  <si>
    <t>Fabrikam Power - Workstream Managed Services #028</t>
  </si>
  <si>
    <t>Fabrikam Power</t>
  </si>
  <si>
    <t>Follow up with Mokhtar on RFP release date.</t>
  </si>
  <si>
    <t>98677f17-ceef-4fdb-b069-4c808b0eaa0d</t>
  </si>
  <si>
    <t>+ySd49ZPmzzIyGI6Ot3XP/I4f6SVTTySSjzn8qAskGq2YUNIAuubDAq6zwEaLaVfaF4C7VmsFIZnib/keSsHGg==</t>
  </si>
  <si>
    <t>Contoso Financial - Workstream Modernization #029</t>
  </si>
  <si>
    <t>Follow up with Michael She now that Dataverse is unblocked.</t>
  </si>
  <si>
    <t>1e6ab70a-787e-4dc2-9716-80a90b1e52ba</t>
  </si>
  <si>
    <t>T55yZ81vwuzRbXuwlXpfGVQ4TtYsh/TXw3L6zMRGFOdhpWg95STF+kUnGVJukVHNQzxRlBHXi8cExrigssh5pA==</t>
  </si>
  <si>
    <t>Northwind Digital - Workstream Migration #030</t>
  </si>
  <si>
    <t>Check point meeting this week.</t>
  </si>
  <si>
    <t>a4ec0f43-d919-4dde-bcdb-f7ccc73eaf22</t>
  </si>
  <si>
    <t>JVV40zrBO4ljmLVSKhykg5k6jPcY2Ynb/0Nt1esEenb3Qb3IpzmVYn2KqK8la7qj1c7yP6LwNkT7a6YP0tzHIw==</t>
  </si>
  <si>
    <t>Woodgrove Health Systems - Workstream Enablement #031</t>
  </si>
  <si>
    <t>Woodgrove Health Systems</t>
  </si>
  <si>
    <t>6970b12f-285c-4129-b60b-120e93af5410</t>
  </si>
  <si>
    <t>vmCrmiC0iTuOsZZWBUEVXis2S4FF5cFabrikam FinancialCmeovNK/1lOa2xNv1I4kYc6R0y464IyvJzNGPL0YAEzRyvHKY1ro8g==</t>
  </si>
  <si>
    <t>Contoso Energy - Workstream Governance #032</t>
  </si>
  <si>
    <t>Contoso Energy</t>
  </si>
  <si>
    <t>Meet with Tony to discuss next steps.</t>
  </si>
  <si>
    <t>Drew Chen</t>
  </si>
  <si>
    <t>4d842f6c-8c98-44e7-8c3b-ca4da5a5919c</t>
  </si>
  <si>
    <t>r7wxxdx6D1SCIuN1H0ESidLe4vWbQjvZvK4/fcX2D6eyos0zcp/szUXlk42xfGCIOigrxMbjBqLYM40S+5DESQ==</t>
  </si>
  <si>
    <t>Contoso Financial 4 - Workstream AI Pilot #033</t>
  </si>
  <si>
    <t>Contoso Financial 4</t>
  </si>
  <si>
    <t>Followed up awaiting to hear back from OTPP.</t>
  </si>
  <si>
    <t>Rowan Chen</t>
  </si>
  <si>
    <t>837cc3da-38c5-4716-b368-da03feb63070</t>
  </si>
  <si>
    <t>bCjymEhK3rEBl9iAuRVY3FSoP+vVfdEhWsTX85z9R50yQt+i6DFYGNb+Mp/Zf8i5PrqulPtYoRX8O/KFkcCZ7w==</t>
  </si>
  <si>
    <t>Adatum - Workstream Automation #034</t>
  </si>
  <si>
    <t>Adatum</t>
  </si>
  <si>
    <t>Reconnect with Farber in 2 months to check in on initiative.</t>
  </si>
  <si>
    <t>c35fdf00-a8b2-4d2d-8b6a-f6708f5c7720</t>
  </si>
  <si>
    <t>WYFdK9C+Bs2/nB5oOYv7l+O693GmDVrIthkl/2WljMujW27uX9Qu8lAmERdCu91AlpfLuMA2D5cmYdYM6yRVGA==</t>
  </si>
  <si>
    <t>Fabrikam Healthcare - Power Automate Contact Center Upgrade #035</t>
  </si>
  <si>
    <t>Fabrikam Healthcare</t>
  </si>
  <si>
    <t>CIO retiring. need to move out til fall to pick this back up iwth Corey</t>
  </si>
  <si>
    <t>e75a444c-e6e6-4a8c-a53c-6db0f16f7bcc</t>
  </si>
  <si>
    <t>03AcIXCaoJA6sgICYc6Kkvt11nmQzUp3lQzlrS8yy4URvk26uHuQwzrWjOs+TZvMm2SIhM3A/X3rZVc8rvR+mQ==</t>
  </si>
  <si>
    <t>Adatum Manufacturing - Workstream Project Ops Transition #036</t>
  </si>
  <si>
    <t>4cea9abf-0581-4b42-8e2e-28fb0107d2d7</t>
  </si>
  <si>
    <t>lmc0ydF/+h3INqK4CRl0Fmw++nxuummo4liTuuHpKWv3g+/rpu05xtHWUDVo0tWriVAEu7xIaVVVuvy8nFn75Q==</t>
  </si>
  <si>
    <t>Contoso Public Sector - Workstream Digital Front Door #037</t>
  </si>
  <si>
    <t>Contoso Public Sector</t>
  </si>
  <si>
    <t>Awarded -- Complete MSA and sign back by Dec 31st.</t>
  </si>
  <si>
    <t>15f14570-808e-4340-a36a-c15b398f473d</t>
  </si>
  <si>
    <t>LbuTyyWwO10CDT6IdyN/UA3jIVCsPFkoyJoX9o8h1SXCDhUWqAym78hXFY6eehpwrzvMvHY/IWKheL8gv67Mug==</t>
  </si>
  <si>
    <t>Volcano Manufacturing 4 - Workstream Process Mining Quick Start #038</t>
  </si>
  <si>
    <t>Volcano Manufacturing 4</t>
  </si>
  <si>
    <t>Send Volcano Manufacturing 4 updated proposal with updated MS funding</t>
  </si>
  <si>
    <t>2c715131-5674-4f4f-8e8e-e58c2a964e33</t>
  </si>
  <si>
    <t>IUZcXLXWwcc1UticuPa3ejpU0iMuGFlgeRrkporik/xIgkABhCK/t2mIqdhEfoHzDWZ+bK6cVB72Gl5FQJO82Q==</t>
  </si>
  <si>
    <t>Fourth Coffee Financial - Workstream RPA Consolidation #039</t>
  </si>
  <si>
    <t>Fourth Coffee Financial</t>
  </si>
  <si>
    <t>Check in meeting scheduled for Dec 12th to position our Copilot Accelerator offer.</t>
  </si>
  <si>
    <t>Skyler Chen</t>
  </si>
  <si>
    <t>403fd20f-0bb6-4437-aada-8935606b1c30</t>
  </si>
  <si>
    <t>13xpeocTmJYs90kI6gKkr0ACZYvRRCYDxFJ+GJQuTnTuW/u44mFN0/7HaW4qppxL4C/j9zZoY3V3Yb1Qpn87cQ==</t>
  </si>
  <si>
    <t>Woodgrove Financial - Workstream Agent Accelerator #040</t>
  </si>
  <si>
    <t>Woodgrove Financial</t>
  </si>
  <si>
    <t>Connect with Lydia Microsoft SSP on next steps. work with Nyell to understand MCI funding availability.</t>
  </si>
  <si>
    <t>745a175e-442e-4bce-9143-34507c278291</t>
  </si>
  <si>
    <t>QWL8vMriAsiJrX6LqIVPHN7BE2TQqT3/jMpOC7dAE+GdGzuvLzmuSBJEKsev2j7WIGgQC3lPPhsPkW6q3lPF/w==</t>
  </si>
  <si>
    <t>Tailspin Retail Group - Workstream Code Review #041</t>
  </si>
  <si>
    <t>Follow up with Northwind Traders on where this sits in the 2026 priorities and waiting to hear back.</t>
  </si>
  <si>
    <t>24fb09ec-87d8-4a86-ab69-9a077c3609ea</t>
  </si>
  <si>
    <t>OpCRn5wfJxddMkSuF/uj5dikCt3tgmwHGmP0Plnopj1V9wp05BSdJCp2ttqFQ9rGbALwziGDvTJpB7sDPJYf6Q==</t>
  </si>
  <si>
    <t>Contoso Manufacturing - Workstream Managed Services #042</t>
  </si>
  <si>
    <t>Contoso Manufacturing</t>
  </si>
  <si>
    <t>Touch point meeting in May.</t>
  </si>
  <si>
    <t>Emerson Chen</t>
  </si>
  <si>
    <t>53618341-eebb-4e82-823c-3683786eede5</t>
  </si>
  <si>
    <t>8LNmAYDZYwG+9gQoCHQ5Dd1D6tGV6R2b+1fk+nXpLc2Oe5P2MswRPfc7rUmh23LZeKOwPp/Apg6qHEyrlPcLzQ==</t>
  </si>
  <si>
    <t>Northwind Importers - Workstream Modernization #043</t>
  </si>
  <si>
    <t>Northwind Importers</t>
  </si>
  <si>
    <t>Meet with Jeramie / Thomas power Chicago Workshop to review SOW on Copilto Studio Agent.</t>
  </si>
  <si>
    <t>Jamie Chen</t>
  </si>
  <si>
    <t>968211ae-0354-4026-b90c-c0231bc2ffab</t>
  </si>
  <si>
    <t>rdab2C8LuLKwZN7RId+F1gEdUXIGW0cKVifJdA7+pzPrXh0djf/6H/AZh7Jm8SiBbd4yijCmxL7ZRluMzHRIoQ==</t>
  </si>
  <si>
    <t>Tailspin Retail Group - Workstream Migration #044</t>
  </si>
  <si>
    <t>Key Business stakeholder on leave for at least a month. Project on hold until he gets back. Follow up end of feb.</t>
  </si>
  <si>
    <t>Kai Chen</t>
  </si>
  <si>
    <t>b2c40bb2-fa31-4927-af27-80367a794faa</t>
  </si>
  <si>
    <t>lks20LwgELyOG5MNyiprMc0nCAQOclBFTFCYGXJQvLXCCsaFZrPu+oJB2r8rH46cKFxigo678w1DtfgRtmzGnQ==</t>
  </si>
  <si>
    <t>Contoso Financial 3 - Workstream Enablement #045</t>
  </si>
  <si>
    <t>Contoso Financial 3</t>
  </si>
  <si>
    <t>Meeting schedule with ETS Innovations lead to talk about next steps. John Hancock MSA in place.</t>
  </si>
  <si>
    <t>Sasha Chen</t>
  </si>
  <si>
    <t>57ad218d-6682-4845-85f1-0dc9c99d0f1b</t>
  </si>
  <si>
    <t>8HF8dSjsprXhJFxpRhtSLCAdBF8gB3sXRk8vxZ8I/C5ZO1pgrQ/j+jHnipfyOmR1heICi26HucjFtyVBOKjrog==</t>
  </si>
  <si>
    <t>Tailspin Retail Group - Workstream Governance #046</t>
  </si>
  <si>
    <t>301a32a8-930e-4f23-a6f4-111ce156a27b</t>
  </si>
  <si>
    <t>2+aPP5moLvIhA5CKb8okFabrikam Financial4vGmuu7/iTo7CciSyEJLOZCetB4SQ0pspKU3GUy8rwwqBtKP8YACa5Py92smcjgg==</t>
  </si>
  <si>
    <t>Tailspin Retail Group - Workstream AI Pilot #047</t>
  </si>
  <si>
    <t>Prepare CR and send to Senthil for entry into field glass.</t>
  </si>
  <si>
    <t>db5542ca-801e-41af-9736-5e38cc84ccaf</t>
  </si>
  <si>
    <t>zzAcITAKhR4uIDH5OwZUIhZgpvJ+9S9H5KrpF/QeAU692VydpBCLbQTMG8kMrmmcA8eZZsgNd6I8xrH4XHBsaQ==</t>
  </si>
  <si>
    <t>World Wide Importers - Workstream Automation #048</t>
  </si>
  <si>
    <t>World Wide Importers</t>
  </si>
  <si>
    <t>Customer has gone dark following up again..</t>
  </si>
  <si>
    <t>Harper Chen</t>
  </si>
  <si>
    <t>c64824c8-1fdc-4050-a39b-2b455de14646</t>
  </si>
  <si>
    <t>+hVIJ4YCpmjMxRHXzIC2N/cD+/IAPZuWxrUAmtmXKVGIE6ProDc7CSK5dUzqQxxr47guek3CYHloYN4lR3TAOQ==</t>
  </si>
  <si>
    <t>Volcano Manufacturing 2 - Workstream Contact Center Upgrade #049</t>
  </si>
  <si>
    <t>Complete MSA with Project Ops opportunity.</t>
  </si>
  <si>
    <t>c252491d-4530-4d0e-a79e-56a41b58582a</t>
  </si>
  <si>
    <t>EoX3ljlqtrOChQqMpPPfpSJ4T5ZQ2gWnSmDcnSBp81BFfww/eSiVyfBQu1fwuZSM6NNsMj9scW4cCpiHnFpCoA==</t>
  </si>
  <si>
    <t>Contoso Technology - Workstream Project Ops Transition #050</t>
  </si>
  <si>
    <t>Contoso Technology</t>
  </si>
  <si>
    <t>Introduction meeting with Microsoft team to Yuri in Montreal hydrosolutions.</t>
  </si>
  <si>
    <t>1eb1a82e-f7ab-4491-98ee-d606235d18db</t>
  </si>
  <si>
    <t>isbszna+mLw04O2OsUzr4oYq1iCMZ8rruGmo2V4W7oA6k7+7+r8whbi/zUSnTsTMIbz0Pi3Xf1BRS/CExLBe1g==</t>
  </si>
  <si>
    <t>Contoso Financial - Workstream Digital Front Door #051</t>
  </si>
  <si>
    <t>Proposal to unblock Dataverse being sent to Contoso Financial this week to unblock this opp.</t>
  </si>
  <si>
    <t>07e25940-8eab-4b21-b7b0-666294a94a9a</t>
  </si>
  <si>
    <t>SJBSDuB3chJ3XFfe+N2M1yAkZ9LxsjkOSongE60m1kcTLreQ3IuJVR690HwsXUksqUQUu91QW1C30QgRnRkhvg==</t>
  </si>
  <si>
    <t>Contoso 2 - Workstream Process Mining Quick Start #052</t>
  </si>
  <si>
    <t>Contoso 2</t>
  </si>
  <si>
    <t>check back in with Champion once they have solved their AI Literacy.</t>
  </si>
  <si>
    <t>Logan Chen</t>
  </si>
  <si>
    <t>20d04bac-6961-4d0f-9df0-22ae3d92b8f4</t>
  </si>
  <si>
    <t>nzfHFabrikam FinancialS7RttrNEtq0ohMXwCOjLXJLFMnJ7dKPU6t0JmF1x+rUdyiHvydIILxWmFabrikam FinancialH1VygGOdW/XnvpwTesLW/g==</t>
  </si>
  <si>
    <t>Contoso Financial - Workstream RPA Consolidation #053</t>
  </si>
  <si>
    <t>Complete Phase 1.</t>
  </si>
  <si>
    <t>2bf4c244-b622-44fb-b787-1cfd731b0544</t>
  </si>
  <si>
    <t>KwZGxRDRCrDi++Ak9oKVtPatycDkl0ljHF737A1HEaQ0q2hVBAy/Aks0yqx+zYQ1mrirweAvbIbNZHt3AJvrKQ==</t>
  </si>
  <si>
    <t>Fabrikam Financial - Workstream Agent Accelerator #054</t>
  </si>
  <si>
    <t>Fabrikam Financial</t>
  </si>
  <si>
    <t>Understand Alithya D365 contact marketing events and sales play</t>
  </si>
  <si>
    <t>731266b6-454c-4d68-887b-31fa709691b6</t>
  </si>
  <si>
    <t>yDUltlvfeCpd6PFquQkY1qMYnesJ0jf9zkVA9S4DVI5VsVIzHUbN1nOoN814uIX9coWkps6gPyTgMr6Contoso Healthcg==</t>
  </si>
  <si>
    <t>Contoso Financial 6 - Workstream Code Review #055</t>
  </si>
  <si>
    <t>Contoso Financial 6</t>
  </si>
  <si>
    <t>Nov 30 - Sunlife is currently training their staff on Power Automate. Sent an email with details of our migration tools to see if there would be interest. Jan 13 - Sent over two emails. One to follow up on meeting requestion. Second was to Iskandar Nurtanto who worked at CGI when I was there..</t>
  </si>
  <si>
    <t>Alex Patel</t>
  </si>
  <si>
    <t>393e7dd4-a448-424b-a6fb-ca387bba5440</t>
  </si>
  <si>
    <t>+nrg1XVRXcEL5o0KcCQMb8XOznpZzyV4oBM/6waBkibIl2xOhjVRLp5TfD5n8TfoWCrT8GgfbgunxdChFDWcOw==</t>
  </si>
  <si>
    <t>Northwind Digital - Workstream Managed Services #056</t>
  </si>
  <si>
    <t>Meeting with Contoso Technology Wednesday to get an update on this proposal.</t>
  </si>
  <si>
    <t>dac8ab28-2e48-4cb2-92ab-6ad199450cca</t>
  </si>
  <si>
    <t>klbg/lZFIZbodSa5eUBIfkptjwMjlYgVotXURIL9YD5BNzDXi2j11+Syp9pYAzmjK11hjtShLqYVfyRox3CSqw==</t>
  </si>
  <si>
    <t>Contoso Financial - Workstream Modernization #057</t>
  </si>
  <si>
    <t>Weekly check points with GIo.</t>
  </si>
  <si>
    <t>a838fd28-985b-4ba3-b808-46847a52d553</t>
  </si>
  <si>
    <t>PkmWuQ8M2l3U+mC+UXgeiixkleGGFaVWCdpv7nbEL9gRbsNUNt+Je7xsBogXx8TE5ppssFywHdrXp69evgM6gQ==</t>
  </si>
  <si>
    <t>Woodgrove - Workstream Migration #058</t>
  </si>
  <si>
    <t>Woodgrove</t>
  </si>
  <si>
    <t>Review Use case and 2026 funding with First service third week of March.</t>
  </si>
  <si>
    <t>Jordan Patel</t>
  </si>
  <si>
    <t>3c06e1f7-1daf-42c2-9233-b57de394a657</t>
  </si>
  <si>
    <t>WzXDHpKTq9maG1xiWPUwVwkQOpXbd7J/wvkU2dGNCog7w1mEXvPfGgS9nQV+iQdmMm6K/0ak1upA0AShwTh+oQ==</t>
  </si>
  <si>
    <t>Northwind Digital - Workstream Enablement #059</t>
  </si>
  <si>
    <t>Circle back post Salesforce migration.</t>
  </si>
  <si>
    <t>181242f3-d295-4230-a2da-5f1bb82a4680</t>
  </si>
  <si>
    <t>ag4EURTlDDEexVhCC89aBoNHo5txDG7tLETYsCi3vXIFspZrVp66Tqq5dCQdzTWZSbcHkTZc3wFKnl9q73QsRw==</t>
  </si>
  <si>
    <t>Volcano Manufacturing 3 - Workstream Governance #060</t>
  </si>
  <si>
    <t>Volcano Manufacturing 3</t>
  </si>
  <si>
    <t>Meet with AI Business Solutions rep thursday to pursue at LAM</t>
  </si>
  <si>
    <t>opportunity:0Frib3slvdxIcYLFbN9DqshIXA984/Ev3BMkg1aU+DwnFQ2RoJuxt7Wy2RAlvTuObNc/bqFCQFfpaYHV5d7+lw==:opportunityid=%28Do%20Not%20Modify%29%20Opportunity&amp;checksumLogicalName=%28Do%20Not%20Modify%29%20Row%20Checksum&amp;modifiedon=%28Do%20Not%20Modify%29%20Modified%20On&amp;name=Topic&amp;parentaccountid=Account&amp;description=Description&amp;alya_nextstep=Next%20Step&amp;alya_nextstepduedate=Next%20Step%20Due%20Date&amp;estimatedclosedate=Est.%20close%20date&amp;estimatedvalue=Est.%20revenue&amp;timeline=Timeline&amp;parentcontactid=Contact&amp;opportunityratingcode=Rating&amp;salesstage=Sales%20Stage&amp;closeprobability=Probability&amp;createdon=Created%20On&amp;modifiedon=Modified%20On&amp;alya_msftworkloadproduct=MSFT%20Workload%20Product&amp;alya_forecastcategory=Forecast%20Category</t>
  </si>
  <si>
    <t>Immediate</t>
  </si>
  <si>
    <t>This Quarter</t>
  </si>
  <si>
    <t>Next Quarter</t>
  </si>
  <si>
    <t>This Year</t>
  </si>
  <si>
    <t>Not known</t>
  </si>
  <si>
    <t>Hot</t>
  </si>
  <si>
    <t>Cold</t>
  </si>
  <si>
    <t>Probability</t>
  </si>
  <si>
    <t>CRM platform upgrade from version 7.5 to 8.3 on-premises deployment</t>
  </si>
  <si>
    <t>Tech division lacks skills to manage enterprise environments for 3 key business initiatives in Regional Operations and Corporate Services.</t>
  </si>
  <si>
    <t>DEMO ENTRY – FOR TESTING PURPOSES</t>
  </si>
  <si>
    <t>IT helpdesk routing automation tool deployment.</t>
  </si>
  <si>
    <t>Government agency seeks code audit for enterprise solutions on cloud tech stack. Goals: validate quality, document best practices from prior deployment. Need info on audit scope, requirements, timelines, pricing options including vendor co-funding.</t>
  </si>
  <si>
    <t>Evaluating solutions for unified inbox management across departments. Need to convert external inquiries to trackable cases, create internal request forms, and link records to operational systems for streamlined case handling.</t>
  </si>
  <si>
    <t>Corp ABC faces legacy system sunset in 2027. Risk to current software investments. Opportunity to upgrade with modern planning tools and cloud-based project management featuring AI capabilities.</t>
  </si>
  <si>
    <t/>
  </si>
  <si>
    <t>Quick-start project management deployment for regional team leads currently using desktop applications.</t>
  </si>
  <si>
    <t>Latin America division evaluating shift from legacy tools to cloud project management for better visibility and governance on complex engineering projects currently tracked via spreadsheets.</t>
  </si>
  <si>
    <t>Enterprise Corp faces legacy tool retirement next year. Strategic modernization opportunity with AI-enabled project tools and integrated governance through cloud-based planning solutions.</t>
  </si>
  <si>
    <t>Global Industries faces system sunset next year. Strategic chance to upgrade project management with AI tools and unified governance through modern cloud planning platform.</t>
  </si>
  <si>
    <t>Regional Retail seeks unified mobile-first employee portal using collaboration tools to streamline frontline operations, boost knowledge sharing, and modernize communications for 150K staff.</t>
  </si>
  <si>
    <t>Client: Energy Co. Type: Strategy + Training. Drivers: Fast organic growth, governance needs, exec support. Scope: Platform governance, enablement scaling, process analytics. Format: Focused advisory with parallel workstreams.</t>
  </si>
  <si>
    <t>Banking Group 7 faces legacy retirement in 2027, risking $400K annual costs. Chance to modernize with AI tools and unified governance via cloud planning and operations platform.</t>
  </si>
  <si>
    <t>Industrial Corp faces 2027 legacy system end-of-life, risking continuity. Migration enables modern planning tools with AI governance and integrated operations management.</t>
  </si>
  <si>
    <t>RPA migration from third-party tool to enterprise automation platform, using proprietary converter to accelerate bot transition and minimize manual rework.</t>
  </si>
  <si>
    <t>Consulting firm delivered platform workshops to enterprise clients, focusing on digital transformation and engagement via AI solutions. Key opportunity to demonstrate expertise and expand revenue.</t>
  </si>
  <si>
    <t>Banking firm evaluating CRM Premium for 25-user pilot scaling to 200. Seeking fast deployment with partner support under existing agreement.</t>
  </si>
  <si>
    <t>License count: 280 Standard, 300 Premium. Planning NDA for detailed discovery and product demonstration session.</t>
  </si>
  <si>
    <t>Industrial Corp faces legacy system retirement next year, risking license costs. Strategic modernization with AI planning tools and integrated governance through cloud operations platform.</t>
  </si>
  <si>
    <t>Enterprise Corp faces legacy retirement next year. Strategic chance to modernize with AI tools and unified governance via cloud planning and project operations.</t>
  </si>
  <si>
    <t>Retail chain opportunity to enhance dealer support via process intelligence and automation. Using platform AI to shift from reactive to proactive support, cutting resolution times for independent partners.</t>
  </si>
  <si>
    <t>Payment processor needs replacement for custom-built tracking app used for client onboarding and device channel configuration/distribution.</t>
  </si>
  <si>
    <t>Government agency pilot for executive task management modernization. Current workflow fragmented across lists, docs, email. Need unified intake, tracking, workflow automation for ~400 creators and 1500 recipients.</t>
  </si>
  <si>
    <t>AI Assistant Rapid Deployment proposal</t>
  </si>
  <si>
    <t>Energy Authority issuing RFP for CRM implementation. Crown corp managing provincial grid and $18B market seeks modern customer service platform for 4.5M consumers with compliance and transparency goals.</t>
  </si>
  <si>
    <t>Banking Corp exploring AI-driven contact center modernization to boost agent productivity, reduce handling time, and improve CX using assistant and cloud AI aligned to enterprise needs.</t>
  </si>
  <si>
    <t>Previous RPA tool failed. Now using enterprise automation with basic implementation. Need foundational plus advanced workflow training. Coordinating with vendor specialists.</t>
  </si>
  <si>
    <t>Platform COE initiative: governance framework, environment classification, DLP review. 32 custom apps to migrate from default. Priorities: admin training, pipelines, environment monitoring, external portal POC.</t>
  </si>
  <si>
    <t>Consulting firm seeks strategic partner for enterprise transformation: process redesign, org model, data foundations, and platform modernization for scalable client-focused operations.</t>
  </si>
  <si>
    <t>Partnership opportunity with ERP team on healthcare cost solution and process analytics</t>
  </si>
  <si>
    <t>RFP for CRM implementation at government agency.</t>
  </si>
  <si>
    <t>Manufacturing Co exploring AI adoption with strict PE-mandated ROI targets. ERP change not viable, but inefficiencies exist across multiple systems. Vendor-funded process mining to find automation opportunities and AI use cases.</t>
  </si>
  <si>
    <t>AI Assistant Accelerator offering</t>
  </si>
  <si>
    <t>Insurance division exploring AI adoption per parent company 2027 strategy. Vendor enabling clarity on assistant options and identifying finance-focused AI use cases for potential pilot.</t>
  </si>
  <si>
    <t>Distribution Corp migrating from legacy RPA and workflow tools to unified automation platform as part of vendor consolidation initiative.</t>
  </si>
  <si>
    <t>AI Assistant Rapid Deployment</t>
  </si>
  <si>
    <t>Deploy Autonomous AI Assistant Agent</t>
  </si>
  <si>
    <t>Enhance project tracking app with secure external portal for contractors to update assigned records, improving efficiency and data accuracy.</t>
  </si>
  <si>
    <t>Partner with Innovation team to demo AI agent and process mining capabilities, supporting 4-year strategy via pilots and knowledge transfer.</t>
  </si>
  <si>
    <t>Build automated change log for 5 key tables in project app, letting view-only users see updates while cutting manual reporting overhead.</t>
  </si>
  <si>
    <t>Vendor portal updates plus security assessment engagement</t>
  </si>
  <si>
    <t>AI Assistant Rapid Deployment offering</t>
  </si>
  <si>
    <t>Corp wants to migrate autonomous bots to enterprise automation to reduce costs</t>
  </si>
  <si>
    <t>Managed services for ERP implementation at water solutions company.</t>
  </si>
  <si>
    <t>Deploy AI assistants across enterprise to free up staff capacity at Banking Corp</t>
  </si>
  <si>
    <t>Flexible delivery model with stable core team (architects, PMs) plus flex resources for backlog. Includes compliance activities for regulated industries.</t>
  </si>
  <si>
    <t>Email system migration plus AI agent introduction at enterprise scale</t>
  </si>
  <si>
    <t>Managed support contract</t>
  </si>
  <si>
    <t>Process analytics vendor contract expiring in autumn. Evaluating alternatives; attended data mining demo. Current tool more costly than competing options.</t>
  </si>
  <si>
    <t>Opportunity centers on platform governance and operationalizing workshop learnings. Internal champion driving initiative with exec buyer VP of Technology authorizing funding.</t>
  </si>
  <si>
    <t>Phase 0: CRM migration from legacy system as standalone scope. Includes order notifications, subscription tracking with process improvement. Parallel effort improves CRM-ERP integration for better reporting and UX.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</si>
</sst>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Aptos Narrow"/>
    </font>
    <font>
      <sz val="1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22" fontId="0" fillId="0" borderId="0" xfId="0" applyNumberFormat="1"/>
    <xf numFmtId="49" fontId="0" fillId="0" borderId="0" xfId="0" applyNumberFormat="1" applyAlignment="1">
      <alignment wrapText="1"/>
    </xf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61" totalsRowShown="0">
  <autoFilter ref="A1:T61" xr:uid="{00000000-0009-0000-0100-000001000000}"/>
  <tableColumns count="20">
    <tableColumn id="1" xr3:uid="{00000000-0010-0000-0000-000001000000}" name="(Do Not Modify) Opportunity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Opportunity Name"/>
    <tableColumn id="5" xr3:uid="{00000000-0010-0000-0000-000005000000}" name="Account"/>
    <tableColumn id="6" xr3:uid="{00000000-0010-0000-0000-000006000000}" name="Description"/>
    <tableColumn id="7" xr3:uid="{00000000-0010-0000-0000-000007000000}" name="Next Step"/>
    <tableColumn id="8" xr3:uid="{00000000-0010-0000-0000-000008000000}" name="Next Step Due Date"/>
    <tableColumn id="9" xr3:uid="{00000000-0010-0000-0000-000009000000}" name="Close Date"/>
    <tableColumn id="10" xr3:uid="{00000000-0010-0000-0000-00000A000000}" name="Estimated Revenue (TCV)"/>
    <tableColumn id="11" xr3:uid="{00000000-0010-0000-0000-00000B000000}" name="Timeline"/>
    <tableColumn id="12" xr3:uid="{00000000-0010-0000-0000-00000C000000}" name="Contact"/>
    <tableColumn id="13" xr3:uid="{00000000-0010-0000-0000-00000D000000}" name="Rating"/>
    <tableColumn id="14" xr3:uid="{00000000-0010-0000-0000-00000E000000}" name="Sales Stage"/>
    <tableColumn id="15" xr3:uid="{00000000-0010-0000-0000-00000F000000}" name="Probability" dataDxfId="0">
      <calculatedColumnFormula>IF(S2="","",VALUE(LEFT(S2,FIND("%",S2)-1)))</calculatedColumnFormula>
    </tableColumn>
    <tableColumn id="16" xr3:uid="{00000000-0010-0000-0000-000010000000}" name="Created On"/>
    <tableColumn id="17" xr3:uid="{00000000-0010-0000-0000-000011000000}" name="Modified On"/>
    <tableColumn id="18" xr3:uid="{00000000-0010-0000-0000-000012000000}" name="Product"/>
    <tableColumn id="19" xr3:uid="{00000000-0010-0000-0000-000013000000}" name="Forecast Category"/>
    <tableColumn id="20" xr3:uid="{00000000-0010-0000-0000-000014000000}" name="Actual 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T61"/>
  <sheetViews>
    <sheetView tabSelected="1" topLeftCell="D7" workbookViewId="0">
      <selection activeCell="F4" sqref="F4"/>
    </sheetView>
  </sheetViews>
  <sheetFormatPr defaultRowHeight="14.6"/>
  <cols>
    <col min="1" max="1" width="0" hidden="1"/>
    <col min="2" max="2" width="0" style="1" hidden="1"/>
    <col min="3" max="3" width="0" style="2" hidden="1"/>
    <col min="4" max="5" width="28" style="1" customWidth="1"/>
    <col min="6" max="6" width="28" style="3" customWidth="1"/>
    <col min="7" max="7" width="28" style="1" customWidth="1"/>
    <col min="8" max="9" width="28" style="4" customWidth="1"/>
    <col min="10" max="10" width="28" style="5" customWidth="1"/>
    <col min="11" max="14" width="28" style="1" customWidth="1"/>
    <col min="15" max="15" width="28" style="6" customWidth="1"/>
    <col min="16" max="17" width="28" style="2" customWidth="1"/>
    <col min="18" max="19" width="28" style="1" customWidth="1"/>
    <col min="20" max="20" width="16.07421875" bestFit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340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ht="29.15" customHeight="1">
      <c r="A2" t="s">
        <v>19</v>
      </c>
      <c r="B2" s="1" t="s">
        <v>20</v>
      </c>
      <c r="C2" s="2">
        <v>46105.708009259259</v>
      </c>
      <c r="D2" s="1" t="s">
        <v>21</v>
      </c>
      <c r="E2" s="1" t="s">
        <v>22</v>
      </c>
      <c r="F2" s="3" t="s">
        <v>341</v>
      </c>
      <c r="G2" s="1" t="s">
        <v>23</v>
      </c>
      <c r="H2" s="4">
        <v>46107.833333333343</v>
      </c>
      <c r="I2" s="4">
        <v>46115</v>
      </c>
      <c r="J2" s="5">
        <v>177000</v>
      </c>
      <c r="L2" s="1" t="s">
        <v>24</v>
      </c>
      <c r="M2" s="1" t="s">
        <v>25</v>
      </c>
      <c r="N2" s="1" t="s">
        <v>26</v>
      </c>
      <c r="O2" s="6">
        <f t="shared" ref="O2:O33" si="0">IF(S2="","",VALUE(LEFT(S2,FIND("%",S2)-1)))</f>
        <v>90</v>
      </c>
      <c r="P2" s="2">
        <v>45708.610891203702</v>
      </c>
      <c r="Q2" s="2">
        <v>46105.541342592587</v>
      </c>
      <c r="R2" s="1" t="s">
        <v>27</v>
      </c>
      <c r="S2" s="1" t="s">
        <v>28</v>
      </c>
    </row>
    <row r="3" spans="1:20" ht="72.900000000000006" customHeight="1">
      <c r="A3" t="s">
        <v>29</v>
      </c>
      <c r="B3" s="1" t="s">
        <v>30</v>
      </c>
      <c r="C3" s="2">
        <v>46109.622002314813</v>
      </c>
      <c r="D3" s="1" t="s">
        <v>31</v>
      </c>
      <c r="E3" s="1" t="s">
        <v>22</v>
      </c>
      <c r="F3" s="3" t="s">
        <v>342</v>
      </c>
      <c r="G3" s="1" t="s">
        <v>23</v>
      </c>
      <c r="H3" s="4">
        <v>46107.833333333343</v>
      </c>
      <c r="I3" s="4">
        <v>46115</v>
      </c>
      <c r="J3" s="5">
        <v>90100</v>
      </c>
      <c r="L3" s="1" t="s">
        <v>32</v>
      </c>
      <c r="M3" s="1" t="s">
        <v>25</v>
      </c>
      <c r="N3" s="1" t="s">
        <v>26</v>
      </c>
      <c r="O3" s="6">
        <f t="shared" si="0"/>
        <v>90</v>
      </c>
      <c r="P3" s="2">
        <v>46000.398101851853</v>
      </c>
      <c r="Q3" s="2">
        <v>46109.455335648148</v>
      </c>
      <c r="R3" s="1" t="s">
        <v>33</v>
      </c>
      <c r="S3" s="1" t="s">
        <v>28</v>
      </c>
    </row>
    <row r="4" spans="1:20" ht="409.6" customHeight="1">
      <c r="A4" t="s">
        <v>34</v>
      </c>
      <c r="B4" s="1" t="s">
        <v>35</v>
      </c>
      <c r="C4" s="2">
        <v>46103.914571759262</v>
      </c>
      <c r="D4" s="1" t="s">
        <v>36</v>
      </c>
      <c r="E4" s="1" t="s">
        <v>37</v>
      </c>
      <c r="F4" s="7" t="s">
        <v>343</v>
      </c>
      <c r="G4" s="1" t="s">
        <v>38</v>
      </c>
      <c r="H4" s="4">
        <v>46107.833333333343</v>
      </c>
      <c r="I4" s="4">
        <v>46139</v>
      </c>
      <c r="J4" s="5">
        <v>2391000</v>
      </c>
      <c r="L4" s="1" t="s">
        <v>39</v>
      </c>
      <c r="M4" s="1" t="s">
        <v>25</v>
      </c>
      <c r="N4" s="1" t="s">
        <v>26</v>
      </c>
      <c r="O4" s="6">
        <f t="shared" si="0"/>
        <v>70</v>
      </c>
      <c r="P4" s="2">
        <v>46002.491585648153</v>
      </c>
      <c r="Q4" s="2">
        <v>46103.74790509259</v>
      </c>
      <c r="S4" s="1" t="s">
        <v>40</v>
      </c>
    </row>
    <row r="5" spans="1:20" ht="29.15" customHeight="1">
      <c r="A5" t="s">
        <v>41</v>
      </c>
      <c r="B5" s="1" t="s">
        <v>42</v>
      </c>
      <c r="C5" s="2">
        <v>46103.914872685193</v>
      </c>
      <c r="D5" s="1" t="s">
        <v>43</v>
      </c>
      <c r="E5" s="1" t="s">
        <v>44</v>
      </c>
      <c r="F5" s="3" t="s">
        <v>344</v>
      </c>
      <c r="G5" s="1" t="s">
        <v>45</v>
      </c>
      <c r="H5" s="4">
        <v>46121.833333333343</v>
      </c>
      <c r="I5" s="4">
        <v>46139</v>
      </c>
      <c r="J5" s="5">
        <v>96300</v>
      </c>
      <c r="L5" s="1" t="s">
        <v>46</v>
      </c>
      <c r="M5" s="1" t="s">
        <v>25</v>
      </c>
      <c r="N5" s="1" t="s">
        <v>26</v>
      </c>
      <c r="O5" s="6">
        <f t="shared" si="0"/>
        <v>70</v>
      </c>
      <c r="P5" s="2">
        <v>45725.809976851851</v>
      </c>
      <c r="Q5" s="2">
        <v>46103.748206018521</v>
      </c>
      <c r="R5" s="1" t="s">
        <v>47</v>
      </c>
      <c r="S5" s="1" t="s">
        <v>40</v>
      </c>
    </row>
    <row r="6" spans="1:20" ht="409.6" customHeight="1">
      <c r="A6" t="s">
        <v>48</v>
      </c>
      <c r="B6" s="1" t="s">
        <v>49</v>
      </c>
      <c r="C6" s="2">
        <v>46109.880787037036</v>
      </c>
      <c r="D6" s="1" t="s">
        <v>50</v>
      </c>
      <c r="E6" s="1" t="s">
        <v>51</v>
      </c>
      <c r="F6" s="3" t="s">
        <v>345</v>
      </c>
      <c r="G6" s="1" t="s">
        <v>52</v>
      </c>
      <c r="H6" s="4">
        <v>46107.833333333343</v>
      </c>
      <c r="I6" s="4">
        <v>46139</v>
      </c>
      <c r="J6" s="5">
        <v>51800</v>
      </c>
      <c r="M6" s="1" t="s">
        <v>25</v>
      </c>
      <c r="N6" s="1" t="s">
        <v>26</v>
      </c>
      <c r="O6" s="6">
        <f t="shared" si="0"/>
        <v>40</v>
      </c>
      <c r="P6" s="2">
        <v>46075.825497685182</v>
      </c>
      <c r="Q6" s="2">
        <v>46109.714120370372</v>
      </c>
      <c r="S6" s="1" t="s">
        <v>53</v>
      </c>
    </row>
    <row r="7" spans="1:20" ht="409.6" customHeight="1">
      <c r="A7" t="s">
        <v>54</v>
      </c>
      <c r="B7" s="1" t="s">
        <v>55</v>
      </c>
      <c r="C7" s="2">
        <v>46105.599699074082</v>
      </c>
      <c r="D7" s="1" t="s">
        <v>56</v>
      </c>
      <c r="E7" s="1" t="s">
        <v>22</v>
      </c>
      <c r="F7" s="3" t="s">
        <v>346</v>
      </c>
      <c r="G7" s="1" t="s">
        <v>57</v>
      </c>
      <c r="H7" s="4">
        <v>46107.833333333343</v>
      </c>
      <c r="I7" s="4">
        <v>46139</v>
      </c>
      <c r="J7" s="5">
        <v>129000</v>
      </c>
      <c r="L7" s="1" t="s">
        <v>58</v>
      </c>
      <c r="M7" s="1" t="s">
        <v>25</v>
      </c>
      <c r="N7" s="1" t="s">
        <v>26</v>
      </c>
      <c r="O7" s="6">
        <f t="shared" si="0"/>
        <v>70</v>
      </c>
      <c r="P7" s="2">
        <v>45691.26767361111</v>
      </c>
      <c r="Q7" s="2">
        <v>46105.433032407411</v>
      </c>
      <c r="R7" s="1" t="s">
        <v>27</v>
      </c>
      <c r="S7" s="1" t="s">
        <v>40</v>
      </c>
    </row>
    <row r="8" spans="1:20" ht="116.6" customHeight="1">
      <c r="A8" t="s">
        <v>59</v>
      </c>
      <c r="B8" s="1" t="s">
        <v>60</v>
      </c>
      <c r="C8" s="2">
        <v>46109.750381944446</v>
      </c>
      <c r="D8" s="1" t="s">
        <v>61</v>
      </c>
      <c r="E8" s="1" t="s">
        <v>62</v>
      </c>
      <c r="F8" s="3" t="s">
        <v>347</v>
      </c>
      <c r="G8" s="1" t="s">
        <v>63</v>
      </c>
      <c r="H8" s="4">
        <v>46107.833333333343</v>
      </c>
      <c r="I8" s="4">
        <v>46202</v>
      </c>
      <c r="J8" s="5">
        <v>128000</v>
      </c>
      <c r="M8" s="1" t="s">
        <v>25</v>
      </c>
      <c r="N8" s="1" t="s">
        <v>64</v>
      </c>
      <c r="O8" s="6">
        <f t="shared" si="0"/>
        <v>70</v>
      </c>
      <c r="P8" s="2">
        <v>46027.555393518523</v>
      </c>
      <c r="Q8" s="2">
        <v>46109.583715277768</v>
      </c>
      <c r="R8" s="1" t="s">
        <v>27</v>
      </c>
      <c r="S8" s="1" t="s">
        <v>40</v>
      </c>
    </row>
    <row r="9" spans="1:20">
      <c r="A9" t="s">
        <v>65</v>
      </c>
      <c r="B9" s="1" t="s">
        <v>66</v>
      </c>
      <c r="C9" s="2">
        <v>46109.621111111112</v>
      </c>
      <c r="D9" s="1" t="s">
        <v>67</v>
      </c>
      <c r="E9" s="1" t="s">
        <v>68</v>
      </c>
      <c r="F9" s="3" t="s">
        <v>348</v>
      </c>
      <c r="G9" s="1" t="s">
        <v>69</v>
      </c>
      <c r="H9" s="4">
        <v>46114.833333333343</v>
      </c>
      <c r="I9" s="4">
        <v>46202</v>
      </c>
      <c r="J9" s="5">
        <v>272000</v>
      </c>
      <c r="M9" s="1" t="s">
        <v>25</v>
      </c>
      <c r="N9" s="1" t="s">
        <v>70</v>
      </c>
      <c r="O9" s="6">
        <f t="shared" si="0"/>
        <v>0</v>
      </c>
      <c r="P9" s="2">
        <v>46106.710092592592</v>
      </c>
      <c r="Q9" s="2">
        <v>46109.454444444447</v>
      </c>
      <c r="S9" s="1" t="s">
        <v>71</v>
      </c>
    </row>
    <row r="10" spans="1:20" ht="43.75" customHeight="1">
      <c r="A10" t="s">
        <v>72</v>
      </c>
      <c r="B10" s="1" t="s">
        <v>73</v>
      </c>
      <c r="C10" s="2">
        <v>46104.021504629629</v>
      </c>
      <c r="D10" s="1" t="s">
        <v>74</v>
      </c>
      <c r="E10" s="1" t="s">
        <v>62</v>
      </c>
      <c r="F10" s="3" t="s">
        <v>349</v>
      </c>
      <c r="G10" s="1" t="s">
        <v>75</v>
      </c>
      <c r="H10" s="4">
        <v>46107.833333333343</v>
      </c>
      <c r="I10" s="4">
        <v>46202</v>
      </c>
      <c r="J10" s="5">
        <v>81900</v>
      </c>
      <c r="M10" s="1" t="s">
        <v>25</v>
      </c>
      <c r="N10" s="1" t="s">
        <v>64</v>
      </c>
      <c r="O10" s="6">
        <f t="shared" si="0"/>
        <v>10</v>
      </c>
      <c r="P10" s="2">
        <v>46100.666655092587</v>
      </c>
      <c r="Q10" s="2">
        <v>46103.854837962957</v>
      </c>
      <c r="S10" s="1" t="s">
        <v>76</v>
      </c>
    </row>
    <row r="11" spans="1:20" ht="116.6" customHeight="1">
      <c r="A11" t="s">
        <v>77</v>
      </c>
      <c r="B11" s="1" t="s">
        <v>78</v>
      </c>
      <c r="C11" s="2">
        <v>46104.028715277767</v>
      </c>
      <c r="D11" s="1" t="s">
        <v>79</v>
      </c>
      <c r="E11" s="1" t="s">
        <v>62</v>
      </c>
      <c r="F11" s="3" t="s">
        <v>350</v>
      </c>
      <c r="G11" s="1" t="s">
        <v>80</v>
      </c>
      <c r="H11" s="4">
        <v>46107.833333333343</v>
      </c>
      <c r="I11" s="4">
        <v>46202</v>
      </c>
      <c r="J11" s="5">
        <v>121000</v>
      </c>
      <c r="M11" s="1" t="s">
        <v>25</v>
      </c>
      <c r="N11" s="1" t="s">
        <v>81</v>
      </c>
      <c r="O11" s="6">
        <f t="shared" si="0"/>
        <v>40</v>
      </c>
      <c r="P11" s="2">
        <v>46084.36822916667</v>
      </c>
      <c r="Q11" s="2">
        <v>46103.86204861111</v>
      </c>
      <c r="S11" s="1" t="s">
        <v>53</v>
      </c>
    </row>
    <row r="12" spans="1:20">
      <c r="A12" t="s">
        <v>82</v>
      </c>
      <c r="B12" s="1" t="s">
        <v>83</v>
      </c>
      <c r="C12" s="2">
        <v>46091.595057870371</v>
      </c>
      <c r="D12" s="1" t="s">
        <v>84</v>
      </c>
      <c r="E12" s="1" t="s">
        <v>85</v>
      </c>
      <c r="F12" s="3" t="s">
        <v>348</v>
      </c>
      <c r="G12" s="1" t="s">
        <v>86</v>
      </c>
      <c r="H12" s="4">
        <v>46079.791666666657</v>
      </c>
      <c r="I12" s="4">
        <v>46202</v>
      </c>
      <c r="J12" s="5">
        <v>69800</v>
      </c>
      <c r="L12" s="1" t="s">
        <v>87</v>
      </c>
      <c r="M12" s="1" t="s">
        <v>25</v>
      </c>
      <c r="N12" s="1" t="s">
        <v>70</v>
      </c>
      <c r="O12" s="6">
        <f t="shared" si="0"/>
        <v>40</v>
      </c>
      <c r="P12" s="2">
        <v>46075.769872685189</v>
      </c>
      <c r="Q12" s="2">
        <v>46091.428391203714</v>
      </c>
      <c r="S12" s="1" t="s">
        <v>53</v>
      </c>
    </row>
    <row r="13" spans="1:20" ht="145.75" customHeight="1">
      <c r="A13" t="s">
        <v>88</v>
      </c>
      <c r="B13" s="1" t="s">
        <v>89</v>
      </c>
      <c r="C13" s="2">
        <v>46109.74454861111</v>
      </c>
      <c r="D13" s="1" t="s">
        <v>90</v>
      </c>
      <c r="E13" s="1" t="s">
        <v>91</v>
      </c>
      <c r="F13" s="3" t="s">
        <v>351</v>
      </c>
      <c r="G13" s="1" t="s">
        <v>92</v>
      </c>
      <c r="H13" s="4">
        <v>46107.833333333343</v>
      </c>
      <c r="I13" s="4">
        <v>46202</v>
      </c>
      <c r="J13" s="5">
        <v>114000</v>
      </c>
      <c r="M13" s="1" t="s">
        <v>25</v>
      </c>
      <c r="N13" s="1" t="s">
        <v>26</v>
      </c>
      <c r="O13" s="6">
        <f t="shared" si="0"/>
        <v>70</v>
      </c>
      <c r="P13" s="2">
        <v>46034.555520833332</v>
      </c>
      <c r="Q13" s="2">
        <v>46109.577881944453</v>
      </c>
      <c r="S13" s="1" t="s">
        <v>40</v>
      </c>
    </row>
    <row r="14" spans="1:20" ht="145.75" customHeight="1">
      <c r="A14" t="s">
        <v>93</v>
      </c>
      <c r="B14" s="1" t="s">
        <v>94</v>
      </c>
      <c r="C14" s="2">
        <v>46092.730868055558</v>
      </c>
      <c r="D14" s="1" t="s">
        <v>95</v>
      </c>
      <c r="E14" s="1" t="s">
        <v>96</v>
      </c>
      <c r="F14" s="3" t="s">
        <v>352</v>
      </c>
      <c r="G14" s="1" t="s">
        <v>97</v>
      </c>
      <c r="H14" s="4">
        <v>46100.833333333343</v>
      </c>
      <c r="I14" s="4">
        <v>46202</v>
      </c>
      <c r="J14" s="5">
        <v>137000</v>
      </c>
      <c r="M14" s="1" t="s">
        <v>25</v>
      </c>
      <c r="N14" s="1" t="s">
        <v>70</v>
      </c>
      <c r="O14" s="6">
        <f t="shared" si="0"/>
        <v>0</v>
      </c>
      <c r="P14" s="2">
        <v>45985.528564814813</v>
      </c>
      <c r="Q14" s="2">
        <v>46092.564201388886</v>
      </c>
      <c r="S14" s="1" t="s">
        <v>71</v>
      </c>
    </row>
    <row r="15" spans="1:20" ht="116.6" customHeight="1">
      <c r="A15" t="s">
        <v>98</v>
      </c>
      <c r="B15" s="1" t="s">
        <v>99</v>
      </c>
      <c r="C15" s="2">
        <v>46109.622673611113</v>
      </c>
      <c r="D15" s="1" t="s">
        <v>100</v>
      </c>
      <c r="E15" s="1" t="s">
        <v>101</v>
      </c>
      <c r="F15" s="3" t="s">
        <v>353</v>
      </c>
      <c r="G15" s="1" t="s">
        <v>102</v>
      </c>
      <c r="H15" s="4">
        <v>46107.833333333343</v>
      </c>
      <c r="I15" s="4">
        <v>46202</v>
      </c>
      <c r="J15" s="5">
        <v>871000</v>
      </c>
      <c r="L15" s="1" t="s">
        <v>103</v>
      </c>
      <c r="M15" s="1" t="s">
        <v>25</v>
      </c>
      <c r="N15" s="1" t="s">
        <v>64</v>
      </c>
      <c r="O15" s="6">
        <f t="shared" si="0"/>
        <v>10</v>
      </c>
      <c r="P15" s="2">
        <v>45692.199814814812</v>
      </c>
      <c r="Q15" s="2">
        <v>46109.456006944441</v>
      </c>
      <c r="R15" s="1" t="s">
        <v>33</v>
      </c>
      <c r="S15" s="1" t="s">
        <v>76</v>
      </c>
    </row>
    <row r="16" spans="1:20" ht="364.3" customHeight="1">
      <c r="A16" t="s">
        <v>104</v>
      </c>
      <c r="B16" s="1" t="s">
        <v>105</v>
      </c>
      <c r="C16" s="2">
        <v>46085.81453703704</v>
      </c>
      <c r="D16" s="1" t="s">
        <v>106</v>
      </c>
      <c r="E16" s="1" t="s">
        <v>107</v>
      </c>
      <c r="F16" s="3" t="s">
        <v>354</v>
      </c>
      <c r="G16" s="1" t="s">
        <v>108</v>
      </c>
      <c r="H16" s="4">
        <v>46090.833333333343</v>
      </c>
      <c r="I16" s="4">
        <v>46202</v>
      </c>
      <c r="J16" s="5">
        <v>148000</v>
      </c>
      <c r="M16" s="1" t="s">
        <v>25</v>
      </c>
      <c r="N16" s="1" t="s">
        <v>70</v>
      </c>
      <c r="O16" s="6">
        <f t="shared" si="0"/>
        <v>10</v>
      </c>
      <c r="P16" s="2">
        <v>46085.602314814823</v>
      </c>
      <c r="Q16" s="2">
        <v>46085.606203703697</v>
      </c>
      <c r="S16" s="1" t="s">
        <v>76</v>
      </c>
    </row>
    <row r="17" spans="1:19" ht="145.75" customHeight="1">
      <c r="A17" t="s">
        <v>109</v>
      </c>
      <c r="B17" s="1" t="s">
        <v>110</v>
      </c>
      <c r="C17" s="2">
        <v>46092.924409722233</v>
      </c>
      <c r="D17" s="1" t="s">
        <v>111</v>
      </c>
      <c r="E17" s="1" t="s">
        <v>112</v>
      </c>
      <c r="F17" s="3" t="s">
        <v>355</v>
      </c>
      <c r="G17" s="1" t="s">
        <v>113</v>
      </c>
      <c r="H17" s="4">
        <v>46044.791666666657</v>
      </c>
      <c r="I17" s="4">
        <v>46202</v>
      </c>
      <c r="J17" s="5">
        <v>165000</v>
      </c>
      <c r="M17" s="1" t="s">
        <v>25</v>
      </c>
      <c r="N17" s="1" t="s">
        <v>70</v>
      </c>
      <c r="O17" s="6">
        <f t="shared" si="0"/>
        <v>0</v>
      </c>
      <c r="P17" s="2">
        <v>45982.489039351851</v>
      </c>
      <c r="Q17" s="2">
        <v>46092.757743055547</v>
      </c>
      <c r="S17" s="1" t="s">
        <v>71</v>
      </c>
    </row>
    <row r="18" spans="1:19" ht="131.15" customHeight="1">
      <c r="A18" t="s">
        <v>114</v>
      </c>
      <c r="B18" s="1" t="s">
        <v>115</v>
      </c>
      <c r="C18" s="2">
        <v>46109.623738425929</v>
      </c>
      <c r="D18" s="1" t="s">
        <v>116</v>
      </c>
      <c r="E18" s="1" t="s">
        <v>117</v>
      </c>
      <c r="F18" s="3" t="s">
        <v>356</v>
      </c>
      <c r="G18" s="1" t="s">
        <v>118</v>
      </c>
      <c r="H18" s="4">
        <v>46100.833333333343</v>
      </c>
      <c r="I18" s="4">
        <v>46202</v>
      </c>
      <c r="J18" s="5">
        <v>165000</v>
      </c>
      <c r="M18" s="1" t="s">
        <v>25</v>
      </c>
      <c r="N18" s="1" t="s">
        <v>64</v>
      </c>
      <c r="O18" s="6">
        <f t="shared" si="0"/>
        <v>40</v>
      </c>
      <c r="P18" s="2">
        <v>46027.559606481482</v>
      </c>
      <c r="Q18" s="2">
        <v>46109.457071759258</v>
      </c>
      <c r="S18" s="1" t="s">
        <v>53</v>
      </c>
    </row>
    <row r="19" spans="1:19" ht="102" customHeight="1">
      <c r="A19" t="s">
        <v>119</v>
      </c>
      <c r="B19" s="1" t="s">
        <v>120</v>
      </c>
      <c r="C19" s="2">
        <v>46084.939201388886</v>
      </c>
      <c r="D19" s="1" t="s">
        <v>121</v>
      </c>
      <c r="E19" s="1" t="s">
        <v>122</v>
      </c>
      <c r="F19" s="3" t="s">
        <v>357</v>
      </c>
      <c r="G19" s="1" t="s">
        <v>123</v>
      </c>
      <c r="H19" s="4">
        <v>46079.791666666657</v>
      </c>
      <c r="I19" s="4">
        <v>46202</v>
      </c>
      <c r="J19" s="5">
        <v>42900</v>
      </c>
      <c r="L19" s="1" t="s">
        <v>124</v>
      </c>
      <c r="M19" s="1" t="s">
        <v>25</v>
      </c>
      <c r="N19" s="1" t="s">
        <v>64</v>
      </c>
      <c r="O19" s="6">
        <f t="shared" si="0"/>
        <v>40</v>
      </c>
      <c r="P19" s="2">
        <v>45972.519189814811</v>
      </c>
      <c r="Q19" s="2">
        <v>46084.730868055558</v>
      </c>
      <c r="S19" s="1" t="s">
        <v>53</v>
      </c>
    </row>
    <row r="20" spans="1:19" ht="145.75" customHeight="1">
      <c r="A20" t="s">
        <v>125</v>
      </c>
      <c r="B20" s="1" t="s">
        <v>126</v>
      </c>
      <c r="C20" s="2">
        <v>46084.652060185188</v>
      </c>
      <c r="D20" s="1" t="s">
        <v>127</v>
      </c>
      <c r="E20" s="1" t="s">
        <v>128</v>
      </c>
      <c r="F20" s="3" t="s">
        <v>358</v>
      </c>
      <c r="G20" s="1" t="s">
        <v>129</v>
      </c>
      <c r="H20" s="4">
        <v>46093.833333333343</v>
      </c>
      <c r="I20" s="4">
        <v>46202</v>
      </c>
      <c r="J20" s="5">
        <v>103000</v>
      </c>
      <c r="M20" s="1" t="s">
        <v>25</v>
      </c>
      <c r="N20" s="1" t="s">
        <v>70</v>
      </c>
      <c r="O20" s="6">
        <f t="shared" si="0"/>
        <v>10</v>
      </c>
      <c r="P20" s="2">
        <v>45910.436203703714</v>
      </c>
      <c r="Q20" s="2">
        <v>46084.443726851852</v>
      </c>
      <c r="S20" s="1" t="s">
        <v>76</v>
      </c>
    </row>
    <row r="21" spans="1:19" ht="116.6" customHeight="1">
      <c r="A21" t="s">
        <v>130</v>
      </c>
      <c r="B21" s="1" t="s">
        <v>131</v>
      </c>
      <c r="C21" s="2">
        <v>46092.939074074071</v>
      </c>
      <c r="D21" s="1" t="s">
        <v>132</v>
      </c>
      <c r="E21" s="1" t="s">
        <v>133</v>
      </c>
      <c r="F21" s="3" t="s">
        <v>359</v>
      </c>
      <c r="G21" s="1" t="s">
        <v>134</v>
      </c>
      <c r="H21" s="4">
        <v>46093.833333333343</v>
      </c>
      <c r="I21" s="4">
        <v>46202</v>
      </c>
      <c r="J21" s="5">
        <v>124000</v>
      </c>
      <c r="M21" s="1" t="s">
        <v>25</v>
      </c>
      <c r="N21" s="1" t="s">
        <v>64</v>
      </c>
      <c r="O21" s="6">
        <f t="shared" si="0"/>
        <v>40</v>
      </c>
      <c r="P21" s="2">
        <v>46041.628136574072</v>
      </c>
      <c r="Q21" s="2">
        <v>46092.772407407407</v>
      </c>
      <c r="S21" s="1" t="s">
        <v>53</v>
      </c>
    </row>
    <row r="22" spans="1:19" ht="87.45" customHeight="1">
      <c r="A22" t="s">
        <v>135</v>
      </c>
      <c r="B22" s="1" t="s">
        <v>136</v>
      </c>
      <c r="C22" s="2">
        <v>46097.672395833331</v>
      </c>
      <c r="D22" s="1" t="s">
        <v>137</v>
      </c>
      <c r="E22" s="1" t="s">
        <v>138</v>
      </c>
      <c r="F22" s="3" t="s">
        <v>360</v>
      </c>
      <c r="G22" s="1" t="s">
        <v>139</v>
      </c>
      <c r="H22" s="4">
        <v>46107.833333333343</v>
      </c>
      <c r="I22" s="4">
        <v>46202</v>
      </c>
      <c r="J22" s="5">
        <v>327000</v>
      </c>
      <c r="M22" s="1" t="s">
        <v>25</v>
      </c>
      <c r="N22" s="1" t="s">
        <v>64</v>
      </c>
      <c r="O22" s="6">
        <f t="shared" si="0"/>
        <v>40</v>
      </c>
      <c r="P22" s="2">
        <v>46070.580914351849</v>
      </c>
      <c r="Q22" s="2">
        <v>46097.505729166667</v>
      </c>
      <c r="S22" s="1" t="s">
        <v>53</v>
      </c>
    </row>
    <row r="23" spans="1:19" ht="160.30000000000001" customHeight="1">
      <c r="A23" t="s">
        <v>140</v>
      </c>
      <c r="B23" s="1" t="s">
        <v>141</v>
      </c>
      <c r="C23" s="2">
        <v>46092.92459490741</v>
      </c>
      <c r="D23" s="1" t="s">
        <v>142</v>
      </c>
      <c r="E23" s="1" t="s">
        <v>143</v>
      </c>
      <c r="F23" s="3" t="s">
        <v>361</v>
      </c>
      <c r="G23" s="1" t="s">
        <v>144</v>
      </c>
      <c r="H23" s="4">
        <v>46100.833333333343</v>
      </c>
      <c r="I23" s="4">
        <v>46202</v>
      </c>
      <c r="J23" s="5">
        <v>289000</v>
      </c>
      <c r="M23" s="1" t="s">
        <v>25</v>
      </c>
      <c r="N23" s="1" t="s">
        <v>64</v>
      </c>
      <c r="O23" s="6">
        <f t="shared" si="0"/>
        <v>10</v>
      </c>
      <c r="P23" s="2">
        <v>46027.550219907411</v>
      </c>
      <c r="Q23" s="2">
        <v>46092.757928240739</v>
      </c>
      <c r="S23" s="1" t="s">
        <v>76</v>
      </c>
    </row>
    <row r="24" spans="1:19" ht="145.75" customHeight="1">
      <c r="A24" t="s">
        <v>145</v>
      </c>
      <c r="B24" s="1" t="s">
        <v>146</v>
      </c>
      <c r="C24" s="2">
        <v>46092.904513888891</v>
      </c>
      <c r="D24" s="1" t="s">
        <v>147</v>
      </c>
      <c r="E24" s="1" t="s">
        <v>148</v>
      </c>
      <c r="F24" s="3" t="s">
        <v>362</v>
      </c>
      <c r="G24" s="1" t="s">
        <v>149</v>
      </c>
      <c r="H24" s="4">
        <v>46142.833333333343</v>
      </c>
      <c r="I24" s="4">
        <v>46202</v>
      </c>
      <c r="J24" s="5">
        <v>107000</v>
      </c>
      <c r="M24" s="1" t="s">
        <v>25</v>
      </c>
      <c r="N24" s="1" t="s">
        <v>70</v>
      </c>
      <c r="O24" s="6">
        <f t="shared" si="0"/>
        <v>0</v>
      </c>
      <c r="P24" s="2">
        <v>45985.531354166669</v>
      </c>
      <c r="Q24" s="2">
        <v>46092.737847222219</v>
      </c>
      <c r="S24" s="1" t="s">
        <v>71</v>
      </c>
    </row>
    <row r="25" spans="1:19" ht="204" customHeight="1">
      <c r="A25" t="s">
        <v>150</v>
      </c>
      <c r="B25" s="1" t="s">
        <v>151</v>
      </c>
      <c r="C25" s="2">
        <v>46092.939305555563</v>
      </c>
      <c r="D25" s="1" t="s">
        <v>152</v>
      </c>
      <c r="E25" s="1" t="s">
        <v>153</v>
      </c>
      <c r="F25" s="3" t="s">
        <v>363</v>
      </c>
      <c r="G25" s="1" t="s">
        <v>154</v>
      </c>
      <c r="H25" s="4">
        <v>46114.833333333343</v>
      </c>
      <c r="I25" s="4">
        <v>46202</v>
      </c>
      <c r="J25" s="5">
        <v>54700</v>
      </c>
      <c r="L25" s="1" t="s">
        <v>155</v>
      </c>
      <c r="M25" s="1" t="s">
        <v>25</v>
      </c>
      <c r="N25" s="1" t="s">
        <v>81</v>
      </c>
      <c r="O25" s="6">
        <f t="shared" si="0"/>
        <v>40</v>
      </c>
      <c r="P25" s="2">
        <v>45692.163298611107</v>
      </c>
      <c r="Q25" s="2">
        <v>46092.772638888891</v>
      </c>
      <c r="R25" s="1" t="s">
        <v>156</v>
      </c>
      <c r="S25" s="1" t="s">
        <v>53</v>
      </c>
    </row>
    <row r="26" spans="1:19" ht="131.15" customHeight="1">
      <c r="A26" t="s">
        <v>157</v>
      </c>
      <c r="B26" s="1" t="s">
        <v>158</v>
      </c>
      <c r="C26" s="2">
        <v>46092.925995370373</v>
      </c>
      <c r="D26" s="1" t="s">
        <v>159</v>
      </c>
      <c r="E26" s="1" t="s">
        <v>160</v>
      </c>
      <c r="F26" s="3" t="s">
        <v>364</v>
      </c>
      <c r="G26" s="1" t="s">
        <v>161</v>
      </c>
      <c r="H26" s="4">
        <v>46107.833333333343</v>
      </c>
      <c r="I26" s="4">
        <v>46202</v>
      </c>
      <c r="J26" s="5">
        <v>293000</v>
      </c>
      <c r="L26" s="1" t="s">
        <v>162</v>
      </c>
      <c r="M26" s="1" t="s">
        <v>25</v>
      </c>
      <c r="N26" s="1" t="s">
        <v>26</v>
      </c>
      <c r="O26" s="6">
        <f t="shared" si="0"/>
        <v>40</v>
      </c>
      <c r="P26" s="2">
        <v>45975.529849537037</v>
      </c>
      <c r="Q26" s="2">
        <v>46092.759328703702</v>
      </c>
      <c r="S26" s="1" t="s">
        <v>53</v>
      </c>
    </row>
    <row r="27" spans="1:19" ht="409.6" customHeight="1">
      <c r="A27" t="s">
        <v>163</v>
      </c>
      <c r="B27" s="1" t="s">
        <v>164</v>
      </c>
      <c r="C27" s="2">
        <v>46103.988796296297</v>
      </c>
      <c r="D27" s="1" t="s">
        <v>165</v>
      </c>
      <c r="E27" s="1" t="s">
        <v>51</v>
      </c>
      <c r="F27" s="3" t="s">
        <v>365</v>
      </c>
      <c r="G27" s="1" t="s">
        <v>166</v>
      </c>
      <c r="H27" s="4">
        <v>46107.833333333343</v>
      </c>
      <c r="I27" s="4">
        <v>46202</v>
      </c>
      <c r="J27" s="5">
        <v>179000</v>
      </c>
      <c r="M27" s="1" t="s">
        <v>25</v>
      </c>
      <c r="N27" s="1" t="s">
        <v>81</v>
      </c>
      <c r="O27" s="6">
        <f t="shared" si="0"/>
        <v>40</v>
      </c>
      <c r="P27" s="2">
        <v>46059.442361111112</v>
      </c>
      <c r="Q27" s="2">
        <v>46103.822129629632</v>
      </c>
      <c r="S27" s="1" t="s">
        <v>53</v>
      </c>
    </row>
    <row r="28" spans="1:19" ht="29.15" customHeight="1">
      <c r="A28" t="s">
        <v>167</v>
      </c>
      <c r="B28" s="1" t="s">
        <v>168</v>
      </c>
      <c r="C28" s="2">
        <v>46092.937858796293</v>
      </c>
      <c r="D28" s="1" t="s">
        <v>169</v>
      </c>
      <c r="E28" s="1" t="s">
        <v>143</v>
      </c>
      <c r="F28" s="3" t="s">
        <v>366</v>
      </c>
      <c r="G28" s="1" t="s">
        <v>170</v>
      </c>
      <c r="H28" s="4">
        <v>46037.791666666657</v>
      </c>
      <c r="I28" s="4">
        <v>46293</v>
      </c>
      <c r="J28" s="5">
        <v>62300</v>
      </c>
      <c r="L28" s="1" t="s">
        <v>171</v>
      </c>
      <c r="M28" s="1" t="s">
        <v>25</v>
      </c>
      <c r="N28" s="1" t="s">
        <v>64</v>
      </c>
      <c r="O28" s="6">
        <f t="shared" si="0"/>
        <v>10</v>
      </c>
      <c r="P28" s="2">
        <v>45756.582337962973</v>
      </c>
      <c r="Q28" s="2">
        <v>46092.771192129629</v>
      </c>
      <c r="S28" s="1" t="s">
        <v>76</v>
      </c>
    </row>
    <row r="29" spans="1:19" ht="409.6" customHeight="1">
      <c r="A29" t="s">
        <v>172</v>
      </c>
      <c r="B29" s="1" t="s">
        <v>173</v>
      </c>
      <c r="C29" s="2">
        <v>46109.60869212963</v>
      </c>
      <c r="D29" s="1" t="s">
        <v>174</v>
      </c>
      <c r="E29" s="1" t="s">
        <v>175</v>
      </c>
      <c r="F29" s="3" t="s">
        <v>367</v>
      </c>
      <c r="G29" s="1" t="s">
        <v>176</v>
      </c>
      <c r="H29" s="4">
        <v>46135.833333333343</v>
      </c>
      <c r="I29" s="4">
        <v>46293</v>
      </c>
      <c r="J29" s="5">
        <v>122000</v>
      </c>
      <c r="M29" s="1" t="s">
        <v>25</v>
      </c>
      <c r="N29" s="1" t="s">
        <v>64</v>
      </c>
      <c r="O29" s="6">
        <f t="shared" si="0"/>
        <v>0</v>
      </c>
      <c r="P29" s="2">
        <v>46003.842118055552</v>
      </c>
      <c r="Q29" s="2">
        <v>46109.442025462973</v>
      </c>
      <c r="S29" s="1" t="s">
        <v>71</v>
      </c>
    </row>
    <row r="30" spans="1:19" ht="116.6" customHeight="1">
      <c r="A30" t="s">
        <v>177</v>
      </c>
      <c r="B30" s="1" t="s">
        <v>178</v>
      </c>
      <c r="C30" s="2">
        <v>46109.610173611109</v>
      </c>
      <c r="D30" s="1" t="s">
        <v>179</v>
      </c>
      <c r="E30" s="1" t="s">
        <v>22</v>
      </c>
      <c r="F30" s="3" t="s">
        <v>368</v>
      </c>
      <c r="G30" s="1" t="s">
        <v>180</v>
      </c>
      <c r="H30" s="4">
        <v>46107.833333333343</v>
      </c>
      <c r="I30" s="4">
        <v>46293</v>
      </c>
      <c r="J30" s="5">
        <v>90600</v>
      </c>
      <c r="M30" s="1" t="s">
        <v>25</v>
      </c>
      <c r="N30" s="1" t="s">
        <v>64</v>
      </c>
      <c r="O30" s="6">
        <f t="shared" si="0"/>
        <v>10</v>
      </c>
      <c r="P30" s="2">
        <v>46048.655833333331</v>
      </c>
      <c r="Q30" s="2">
        <v>46109.443506944437</v>
      </c>
      <c r="S30" s="1" t="s">
        <v>76</v>
      </c>
    </row>
    <row r="31" spans="1:19">
      <c r="A31" t="s">
        <v>181</v>
      </c>
      <c r="B31" s="1" t="s">
        <v>182</v>
      </c>
      <c r="C31" s="2">
        <v>46109.610590277778</v>
      </c>
      <c r="D31" s="1" t="s">
        <v>183</v>
      </c>
      <c r="E31" s="1" t="s">
        <v>37</v>
      </c>
      <c r="F31" s="3" t="s">
        <v>348</v>
      </c>
      <c r="G31" s="1" t="s">
        <v>184</v>
      </c>
      <c r="H31" s="4">
        <v>46107.833333333343</v>
      </c>
      <c r="I31" s="4">
        <v>46293</v>
      </c>
      <c r="J31" s="5">
        <v>113000</v>
      </c>
      <c r="L31" s="1" t="s">
        <v>39</v>
      </c>
      <c r="M31" s="1" t="s">
        <v>25</v>
      </c>
      <c r="N31" s="1" t="s">
        <v>81</v>
      </c>
      <c r="O31" s="6">
        <f t="shared" si="0"/>
        <v>40</v>
      </c>
      <c r="P31" s="2">
        <v>46075.854270833333</v>
      </c>
      <c r="Q31" s="2">
        <v>46109.443923611107</v>
      </c>
      <c r="S31" s="1" t="s">
        <v>53</v>
      </c>
    </row>
    <row r="32" spans="1:19">
      <c r="A32" t="s">
        <v>185</v>
      </c>
      <c r="B32" s="1" t="s">
        <v>186</v>
      </c>
      <c r="C32" s="2">
        <v>46109.618576388893</v>
      </c>
      <c r="D32" s="1" t="s">
        <v>187</v>
      </c>
      <c r="E32" s="1" t="s">
        <v>188</v>
      </c>
      <c r="F32" s="3" t="s">
        <v>348</v>
      </c>
      <c r="H32" s="4">
        <v>46058.791666666657</v>
      </c>
      <c r="I32" s="4">
        <v>46293</v>
      </c>
      <c r="J32" s="5">
        <v>83100</v>
      </c>
      <c r="M32" s="1" t="s">
        <v>25</v>
      </c>
      <c r="N32" s="1" t="s">
        <v>70</v>
      </c>
      <c r="O32" s="6">
        <f t="shared" si="0"/>
        <v>0</v>
      </c>
      <c r="P32" s="2">
        <v>46043.559791666667</v>
      </c>
      <c r="Q32" s="2">
        <v>46109.451909722222</v>
      </c>
      <c r="S32" s="1" t="s">
        <v>71</v>
      </c>
    </row>
    <row r="33" spans="1:19" ht="102" customHeight="1">
      <c r="A33" t="s">
        <v>189</v>
      </c>
      <c r="B33" s="1" t="s">
        <v>190</v>
      </c>
      <c r="C33" s="2">
        <v>46109.610821759263</v>
      </c>
      <c r="D33" s="1" t="s">
        <v>191</v>
      </c>
      <c r="E33" s="1" t="s">
        <v>192</v>
      </c>
      <c r="F33" s="3" t="s">
        <v>369</v>
      </c>
      <c r="G33" s="1" t="s">
        <v>193</v>
      </c>
      <c r="H33" s="4">
        <v>45890.833333333343</v>
      </c>
      <c r="I33" s="4">
        <v>46293</v>
      </c>
      <c r="J33" s="5">
        <v>48200</v>
      </c>
      <c r="L33" s="1" t="s">
        <v>194</v>
      </c>
      <c r="M33" s="1" t="s">
        <v>25</v>
      </c>
      <c r="N33" s="1" t="s">
        <v>64</v>
      </c>
      <c r="O33" s="6">
        <f t="shared" si="0"/>
        <v>40</v>
      </c>
      <c r="P33" s="2">
        <v>45694.632997685178</v>
      </c>
      <c r="Q33" s="2">
        <v>46109.444155092591</v>
      </c>
      <c r="S33" s="1" t="s">
        <v>53</v>
      </c>
    </row>
    <row r="34" spans="1:19" ht="409.6" customHeight="1">
      <c r="A34" t="s">
        <v>195</v>
      </c>
      <c r="B34" s="1" t="s">
        <v>196</v>
      </c>
      <c r="C34" s="2">
        <v>46109.611643518518</v>
      </c>
      <c r="D34" s="1" t="s">
        <v>197</v>
      </c>
      <c r="E34" s="1" t="s">
        <v>198</v>
      </c>
      <c r="F34" s="3" t="s">
        <v>370</v>
      </c>
      <c r="G34" s="1" t="s">
        <v>199</v>
      </c>
      <c r="H34" s="4">
        <v>46093.833333333343</v>
      </c>
      <c r="I34" s="4">
        <v>46293</v>
      </c>
      <c r="J34" s="5">
        <v>64300</v>
      </c>
      <c r="L34" s="1" t="s">
        <v>200</v>
      </c>
      <c r="M34" s="1" t="s">
        <v>25</v>
      </c>
      <c r="N34" s="1" t="s">
        <v>64</v>
      </c>
      <c r="O34" s="6">
        <f t="shared" ref="O34:O61" si="1">IF(S34="","",VALUE(LEFT(S34,FIND("%",S34)-1)))</f>
        <v>40</v>
      </c>
      <c r="P34" s="2">
        <v>45716.832083333327</v>
      </c>
      <c r="Q34" s="2">
        <v>46109.444976851853</v>
      </c>
      <c r="S34" s="1" t="s">
        <v>53</v>
      </c>
    </row>
    <row r="35" spans="1:19" ht="116.6" customHeight="1">
      <c r="A35" t="s">
        <v>201</v>
      </c>
      <c r="B35" s="1" t="s">
        <v>202</v>
      </c>
      <c r="C35" s="2">
        <v>46109.619120370371</v>
      </c>
      <c r="D35" s="1" t="s">
        <v>203</v>
      </c>
      <c r="E35" s="1" t="s">
        <v>204</v>
      </c>
      <c r="F35" s="3" t="s">
        <v>371</v>
      </c>
      <c r="G35" s="1" t="s">
        <v>205</v>
      </c>
      <c r="H35" s="4">
        <v>46138.833333333343</v>
      </c>
      <c r="I35" s="4">
        <v>46293</v>
      </c>
      <c r="J35" s="5">
        <v>186000</v>
      </c>
      <c r="M35" s="1" t="s">
        <v>25</v>
      </c>
      <c r="N35" s="1" t="s">
        <v>70</v>
      </c>
      <c r="O35" s="6">
        <f t="shared" si="1"/>
        <v>10</v>
      </c>
      <c r="P35" s="2">
        <v>46051.675254629627</v>
      </c>
      <c r="Q35" s="2">
        <v>46109.452453703707</v>
      </c>
      <c r="S35" s="1" t="s">
        <v>76</v>
      </c>
    </row>
    <row r="36" spans="1:19" ht="43.75" customHeight="1">
      <c r="A36" t="s">
        <v>206</v>
      </c>
      <c r="B36" s="1" t="s">
        <v>207</v>
      </c>
      <c r="C36" s="2">
        <v>46109.619351851848</v>
      </c>
      <c r="D36" s="1" t="s">
        <v>208</v>
      </c>
      <c r="E36" s="1" t="s">
        <v>209</v>
      </c>
      <c r="F36" s="3" t="s">
        <v>372</v>
      </c>
      <c r="G36" s="1" t="s">
        <v>210</v>
      </c>
      <c r="H36" s="4">
        <v>46261.833333333343</v>
      </c>
      <c r="I36" s="4">
        <v>46293</v>
      </c>
      <c r="J36" s="5">
        <v>42800</v>
      </c>
      <c r="M36" s="1" t="s">
        <v>25</v>
      </c>
      <c r="N36" s="1" t="s">
        <v>81</v>
      </c>
      <c r="O36" s="6">
        <f t="shared" si="1"/>
        <v>40</v>
      </c>
      <c r="P36" s="2">
        <v>45797.634502314817</v>
      </c>
      <c r="Q36" s="2">
        <v>46109.452685185177</v>
      </c>
      <c r="R36" s="1" t="s">
        <v>156</v>
      </c>
      <c r="S36" s="1" t="s">
        <v>53</v>
      </c>
    </row>
    <row r="37" spans="1:19">
      <c r="A37" t="s">
        <v>211</v>
      </c>
      <c r="B37" s="1" t="s">
        <v>212</v>
      </c>
      <c r="C37" s="2">
        <v>46109.613946759258</v>
      </c>
      <c r="D37" s="1" t="s">
        <v>213</v>
      </c>
      <c r="E37" s="1" t="s">
        <v>62</v>
      </c>
      <c r="F37" s="3" t="s">
        <v>348</v>
      </c>
      <c r="I37" s="4">
        <v>46293</v>
      </c>
      <c r="J37" s="5">
        <v>200000</v>
      </c>
      <c r="M37" s="1" t="s">
        <v>25</v>
      </c>
      <c r="N37" s="1" t="s">
        <v>70</v>
      </c>
      <c r="O37" s="6">
        <f t="shared" si="1"/>
        <v>10</v>
      </c>
      <c r="P37" s="2">
        <v>46104.946770833332</v>
      </c>
      <c r="Q37" s="2">
        <v>46109.447280092587</v>
      </c>
      <c r="S37" s="1" t="s">
        <v>76</v>
      </c>
    </row>
    <row r="38" spans="1:19" ht="29.15" customHeight="1">
      <c r="A38" t="s">
        <v>214</v>
      </c>
      <c r="B38" s="1" t="s">
        <v>215</v>
      </c>
      <c r="C38" s="2">
        <v>46109.614317129628</v>
      </c>
      <c r="D38" s="1" t="s">
        <v>216</v>
      </c>
      <c r="E38" s="1" t="s">
        <v>217</v>
      </c>
      <c r="F38" s="3" t="s">
        <v>373</v>
      </c>
      <c r="G38" s="1" t="s">
        <v>218</v>
      </c>
      <c r="H38" s="4">
        <v>46021.791666666657</v>
      </c>
      <c r="I38" s="4">
        <v>46293</v>
      </c>
      <c r="J38" s="5">
        <v>242000</v>
      </c>
      <c r="M38" s="1" t="s">
        <v>25</v>
      </c>
      <c r="N38" s="1" t="s">
        <v>64</v>
      </c>
      <c r="O38" s="6">
        <f t="shared" si="1"/>
        <v>40</v>
      </c>
      <c r="P38" s="2">
        <v>45916.398240740738</v>
      </c>
      <c r="Q38" s="2">
        <v>46109.447650462957</v>
      </c>
      <c r="S38" s="1" t="s">
        <v>53</v>
      </c>
    </row>
    <row r="39" spans="1:19" ht="247.75" customHeight="1">
      <c r="A39" t="s">
        <v>219</v>
      </c>
      <c r="B39" s="1" t="s">
        <v>220</v>
      </c>
      <c r="C39" s="2">
        <v>46109.614664351851</v>
      </c>
      <c r="D39" s="1" t="s">
        <v>221</v>
      </c>
      <c r="E39" s="1" t="s">
        <v>222</v>
      </c>
      <c r="F39" s="3" t="s">
        <v>374</v>
      </c>
      <c r="G39" s="1" t="s">
        <v>223</v>
      </c>
      <c r="H39" s="4">
        <v>46051.791666666657</v>
      </c>
      <c r="I39" s="4">
        <v>46293</v>
      </c>
      <c r="J39" s="5">
        <v>56400</v>
      </c>
      <c r="M39" s="1" t="s">
        <v>25</v>
      </c>
      <c r="N39" s="1" t="s">
        <v>70</v>
      </c>
      <c r="O39" s="6">
        <f t="shared" si="1"/>
        <v>10</v>
      </c>
      <c r="P39" s="2">
        <v>45978.42359953704</v>
      </c>
      <c r="Q39" s="2">
        <v>46109.447997685187</v>
      </c>
      <c r="S39" s="1" t="s">
        <v>76</v>
      </c>
    </row>
    <row r="40" spans="1:19">
      <c r="A40" t="s">
        <v>224</v>
      </c>
      <c r="B40" s="1" t="s">
        <v>225</v>
      </c>
      <c r="C40" s="2">
        <v>46109.614907407413</v>
      </c>
      <c r="D40" s="1" t="s">
        <v>226</v>
      </c>
      <c r="E40" s="1" t="s">
        <v>227</v>
      </c>
      <c r="F40" s="3" t="s">
        <v>375</v>
      </c>
      <c r="G40" s="1" t="s">
        <v>228</v>
      </c>
      <c r="H40" s="4">
        <v>46114.833333333343</v>
      </c>
      <c r="I40" s="4">
        <v>46293</v>
      </c>
      <c r="J40" s="5">
        <v>34300</v>
      </c>
      <c r="L40" s="1" t="s">
        <v>229</v>
      </c>
      <c r="M40" s="1" t="s">
        <v>25</v>
      </c>
      <c r="N40" s="1" t="s">
        <v>70</v>
      </c>
      <c r="O40" s="6">
        <f t="shared" si="1"/>
        <v>10</v>
      </c>
      <c r="P40" s="2">
        <v>45761.441967592589</v>
      </c>
      <c r="Q40" s="2">
        <v>46109.448240740741</v>
      </c>
      <c r="S40" s="1" t="s">
        <v>76</v>
      </c>
    </row>
    <row r="41" spans="1:19" ht="131.15" customHeight="1">
      <c r="A41" t="s">
        <v>230</v>
      </c>
      <c r="B41" s="1" t="s">
        <v>231</v>
      </c>
      <c r="C41" s="2">
        <v>46109.615717592591</v>
      </c>
      <c r="D41" s="1" t="s">
        <v>232</v>
      </c>
      <c r="E41" s="1" t="s">
        <v>233</v>
      </c>
      <c r="F41" s="3" t="s">
        <v>376</v>
      </c>
      <c r="G41" s="1" t="s">
        <v>234</v>
      </c>
      <c r="H41" s="4">
        <v>46044.791666666657</v>
      </c>
      <c r="I41" s="4">
        <v>46293</v>
      </c>
      <c r="J41" s="5">
        <v>151000</v>
      </c>
      <c r="M41" s="1" t="s">
        <v>25</v>
      </c>
      <c r="N41" s="1" t="s">
        <v>70</v>
      </c>
      <c r="O41" s="6">
        <f t="shared" si="1"/>
        <v>10</v>
      </c>
      <c r="P41" s="2">
        <v>46037.492858796293</v>
      </c>
      <c r="Q41" s="2">
        <v>46109.449050925927</v>
      </c>
      <c r="S41" s="1" t="s">
        <v>76</v>
      </c>
    </row>
    <row r="42" spans="1:19" ht="58.3" customHeight="1">
      <c r="A42" t="s">
        <v>235</v>
      </c>
      <c r="B42" s="1" t="s">
        <v>236</v>
      </c>
      <c r="C42" s="2">
        <v>46109.616018518522</v>
      </c>
      <c r="D42" s="1" t="s">
        <v>237</v>
      </c>
      <c r="E42" s="1" t="s">
        <v>101</v>
      </c>
      <c r="F42" s="3" t="s">
        <v>377</v>
      </c>
      <c r="G42" s="1" t="s">
        <v>238</v>
      </c>
      <c r="H42" s="4">
        <v>46166.833333333343</v>
      </c>
      <c r="I42" s="4">
        <v>46293</v>
      </c>
      <c r="J42" s="5">
        <v>192000</v>
      </c>
      <c r="L42" s="1" t="s">
        <v>103</v>
      </c>
      <c r="M42" s="1" t="s">
        <v>25</v>
      </c>
      <c r="N42" s="1" t="s">
        <v>64</v>
      </c>
      <c r="O42" s="6">
        <f t="shared" si="1"/>
        <v>10</v>
      </c>
      <c r="P42" s="2">
        <v>45692.358391203707</v>
      </c>
      <c r="Q42" s="2">
        <v>46109.44935185185</v>
      </c>
      <c r="S42" s="1" t="s">
        <v>76</v>
      </c>
    </row>
    <row r="43" spans="1:19">
      <c r="A43" t="s">
        <v>239</v>
      </c>
      <c r="B43" s="1" t="s">
        <v>240</v>
      </c>
      <c r="C43" s="2">
        <v>46109.61886574074</v>
      </c>
      <c r="D43" s="1" t="s">
        <v>241</v>
      </c>
      <c r="E43" s="1" t="s">
        <v>242</v>
      </c>
      <c r="F43" s="3" t="s">
        <v>378</v>
      </c>
      <c r="G43" s="1" t="s">
        <v>243</v>
      </c>
      <c r="H43" s="4">
        <v>46163.833333333343</v>
      </c>
      <c r="I43" s="4">
        <v>46293</v>
      </c>
      <c r="J43" s="5">
        <v>86400</v>
      </c>
      <c r="L43" s="1" t="s">
        <v>244</v>
      </c>
      <c r="M43" s="1" t="s">
        <v>25</v>
      </c>
      <c r="N43" s="1" t="s">
        <v>64</v>
      </c>
      <c r="O43" s="6">
        <f t="shared" si="1"/>
        <v>10</v>
      </c>
      <c r="P43" s="2">
        <v>45725.816053240742</v>
      </c>
      <c r="Q43" s="2">
        <v>46109.452199074083</v>
      </c>
      <c r="S43" s="1" t="s">
        <v>76</v>
      </c>
    </row>
    <row r="44" spans="1:19" ht="29.15" customHeight="1">
      <c r="A44" t="s">
        <v>245</v>
      </c>
      <c r="B44" s="1" t="s">
        <v>246</v>
      </c>
      <c r="C44" s="2">
        <v>46109.616550925923</v>
      </c>
      <c r="D44" s="1" t="s">
        <v>247</v>
      </c>
      <c r="E44" s="1" t="s">
        <v>248</v>
      </c>
      <c r="F44" s="3" t="s">
        <v>379</v>
      </c>
      <c r="G44" s="1" t="s">
        <v>249</v>
      </c>
      <c r="H44" s="4">
        <v>46100.833333333343</v>
      </c>
      <c r="I44" s="4">
        <v>46293</v>
      </c>
      <c r="J44" s="5">
        <v>150000</v>
      </c>
      <c r="L44" s="1" t="s">
        <v>250</v>
      </c>
      <c r="M44" s="1" t="s">
        <v>25</v>
      </c>
      <c r="N44" s="1" t="s">
        <v>64</v>
      </c>
      <c r="O44" s="6">
        <f t="shared" si="1"/>
        <v>40</v>
      </c>
      <c r="P44" s="2">
        <v>45975.45380787037</v>
      </c>
      <c r="Q44" s="2">
        <v>46109.449884259258</v>
      </c>
      <c r="S44" s="1" t="s">
        <v>53</v>
      </c>
    </row>
    <row r="45" spans="1:19" ht="87.45" customHeight="1">
      <c r="A45" t="s">
        <v>251</v>
      </c>
      <c r="B45" s="1" t="s">
        <v>252</v>
      </c>
      <c r="C45" s="2">
        <v>46109.616851851853</v>
      </c>
      <c r="D45" s="1" t="s">
        <v>253</v>
      </c>
      <c r="E45" s="1" t="s">
        <v>101</v>
      </c>
      <c r="F45" s="3" t="s">
        <v>380</v>
      </c>
      <c r="G45" s="1" t="s">
        <v>254</v>
      </c>
      <c r="H45" s="4">
        <v>46079.791666666657</v>
      </c>
      <c r="I45" s="4">
        <v>46293</v>
      </c>
      <c r="J45" s="5">
        <v>144000</v>
      </c>
      <c r="L45" s="1" t="s">
        <v>255</v>
      </c>
      <c r="M45" s="1" t="s">
        <v>25</v>
      </c>
      <c r="N45" s="1" t="s">
        <v>81</v>
      </c>
      <c r="O45" s="6">
        <f t="shared" si="1"/>
        <v>40</v>
      </c>
      <c r="P45" s="2">
        <v>45915.49591435185</v>
      </c>
      <c r="Q45" s="2">
        <v>46109.450185185182</v>
      </c>
      <c r="S45" s="1" t="s">
        <v>53</v>
      </c>
    </row>
    <row r="46" spans="1:19" ht="102" customHeight="1">
      <c r="A46" t="s">
        <v>256</v>
      </c>
      <c r="B46" s="1" t="s">
        <v>257</v>
      </c>
      <c r="C46" s="2">
        <v>46109.617152777777</v>
      </c>
      <c r="D46" s="1" t="s">
        <v>258</v>
      </c>
      <c r="E46" s="1" t="s">
        <v>259</v>
      </c>
      <c r="F46" s="3" t="s">
        <v>381</v>
      </c>
      <c r="G46" s="1" t="s">
        <v>260</v>
      </c>
      <c r="H46" s="4">
        <v>46080.791666666657</v>
      </c>
      <c r="I46" s="4">
        <v>46293</v>
      </c>
      <c r="J46" s="5">
        <v>174000</v>
      </c>
      <c r="L46" s="1" t="s">
        <v>261</v>
      </c>
      <c r="M46" s="1" t="s">
        <v>25</v>
      </c>
      <c r="N46" s="1" t="s">
        <v>70</v>
      </c>
      <c r="O46" s="6">
        <f t="shared" si="1"/>
        <v>10</v>
      </c>
      <c r="P46" s="2">
        <v>45980.359780092593</v>
      </c>
      <c r="Q46" s="2">
        <v>46109.450486111113</v>
      </c>
      <c r="S46" s="1" t="s">
        <v>76</v>
      </c>
    </row>
    <row r="47" spans="1:19" ht="87.45" customHeight="1">
      <c r="A47" t="s">
        <v>262</v>
      </c>
      <c r="B47" s="1" t="s">
        <v>263</v>
      </c>
      <c r="C47" s="2">
        <v>46109.617430555547</v>
      </c>
      <c r="D47" s="1" t="s">
        <v>264</v>
      </c>
      <c r="E47" s="1" t="s">
        <v>101</v>
      </c>
      <c r="F47" s="3" t="s">
        <v>382</v>
      </c>
      <c r="G47" s="1" t="s">
        <v>254</v>
      </c>
      <c r="H47" s="4">
        <v>46079.791666666657</v>
      </c>
      <c r="I47" s="4">
        <v>46293</v>
      </c>
      <c r="J47" s="5">
        <v>20000</v>
      </c>
      <c r="L47" s="1" t="s">
        <v>255</v>
      </c>
      <c r="M47" s="1" t="s">
        <v>25</v>
      </c>
      <c r="N47" s="1" t="s">
        <v>81</v>
      </c>
      <c r="O47" s="6">
        <f t="shared" si="1"/>
        <v>40</v>
      </c>
      <c r="P47" s="2">
        <v>45915.506863425922</v>
      </c>
      <c r="Q47" s="2">
        <v>46109.45076388889</v>
      </c>
      <c r="S47" s="1" t="s">
        <v>53</v>
      </c>
    </row>
    <row r="48" spans="1:19" ht="43.75" customHeight="1">
      <c r="A48" t="s">
        <v>265</v>
      </c>
      <c r="B48" s="1" t="s">
        <v>266</v>
      </c>
      <c r="C48" s="2">
        <v>46109.617650462962</v>
      </c>
      <c r="D48" s="1" t="s">
        <v>267</v>
      </c>
      <c r="E48" s="1" t="s">
        <v>101</v>
      </c>
      <c r="F48" s="3" t="s">
        <v>383</v>
      </c>
      <c r="G48" s="1" t="s">
        <v>268</v>
      </c>
      <c r="H48" s="4">
        <v>46079.791666666657</v>
      </c>
      <c r="I48" s="4">
        <v>46293</v>
      </c>
      <c r="J48" s="5">
        <v>57000</v>
      </c>
      <c r="L48" s="1" t="s">
        <v>255</v>
      </c>
      <c r="M48" s="1" t="s">
        <v>25</v>
      </c>
      <c r="N48" s="1" t="s">
        <v>81</v>
      </c>
      <c r="O48" s="6">
        <f t="shared" si="1"/>
        <v>40</v>
      </c>
      <c r="P48" s="2">
        <v>46066.432500000003</v>
      </c>
      <c r="Q48" s="2">
        <v>46109.450983796298</v>
      </c>
      <c r="S48" s="1" t="s">
        <v>53</v>
      </c>
    </row>
    <row r="49" spans="1:19" ht="29.15" customHeight="1">
      <c r="A49" t="s">
        <v>269</v>
      </c>
      <c r="B49" s="1" t="s">
        <v>270</v>
      </c>
      <c r="C49" s="2">
        <v>46109.618298611109</v>
      </c>
      <c r="D49" s="1" t="s">
        <v>271</v>
      </c>
      <c r="E49" s="1" t="s">
        <v>272</v>
      </c>
      <c r="F49" s="3" t="s">
        <v>384</v>
      </c>
      <c r="G49" s="1" t="s">
        <v>273</v>
      </c>
      <c r="H49" s="4">
        <v>46093.833333333343</v>
      </c>
      <c r="I49" s="4">
        <v>46293</v>
      </c>
      <c r="J49" s="5">
        <v>46300</v>
      </c>
      <c r="L49" s="1" t="s">
        <v>274</v>
      </c>
      <c r="M49" s="1" t="s">
        <v>25</v>
      </c>
      <c r="N49" s="1" t="s">
        <v>64</v>
      </c>
      <c r="O49" s="6">
        <f t="shared" si="1"/>
        <v>40</v>
      </c>
      <c r="P49" s="2">
        <v>45761.471990740742</v>
      </c>
      <c r="Q49" s="2">
        <v>46109.451631944437</v>
      </c>
      <c r="S49" s="1" t="s">
        <v>53</v>
      </c>
    </row>
    <row r="50" spans="1:19" ht="43.75" customHeight="1">
      <c r="A50" t="s">
        <v>275</v>
      </c>
      <c r="B50" s="1" t="s">
        <v>276</v>
      </c>
      <c r="C50" s="2">
        <v>46092.908356481479</v>
      </c>
      <c r="D50" s="1" t="s">
        <v>277</v>
      </c>
      <c r="E50" s="1" t="s">
        <v>143</v>
      </c>
      <c r="F50" s="3" t="s">
        <v>385</v>
      </c>
      <c r="G50" s="1" t="s">
        <v>278</v>
      </c>
      <c r="H50" s="4">
        <v>46271.833333333343</v>
      </c>
      <c r="I50" s="4">
        <v>46300</v>
      </c>
      <c r="J50" s="5">
        <v>0</v>
      </c>
      <c r="L50" s="1" t="s">
        <v>171</v>
      </c>
      <c r="M50" s="1" t="s">
        <v>25</v>
      </c>
      <c r="N50" s="1" t="s">
        <v>70</v>
      </c>
      <c r="O50" s="6">
        <f t="shared" si="1"/>
        <v>10</v>
      </c>
      <c r="P50" s="2">
        <v>45901.66133101852</v>
      </c>
      <c r="Q50" s="2">
        <v>46092.741689814808</v>
      </c>
      <c r="S50" s="1" t="s">
        <v>76</v>
      </c>
    </row>
    <row r="51" spans="1:19" ht="29.15" customHeight="1">
      <c r="A51" t="s">
        <v>279</v>
      </c>
      <c r="B51" s="1" t="s">
        <v>280</v>
      </c>
      <c r="C51" s="2">
        <v>46108.883298611108</v>
      </c>
      <c r="D51" s="1" t="s">
        <v>281</v>
      </c>
      <c r="E51" s="1" t="s">
        <v>282</v>
      </c>
      <c r="F51" s="3" t="s">
        <v>386</v>
      </c>
      <c r="G51" s="1" t="s">
        <v>283</v>
      </c>
      <c r="H51" s="4">
        <v>46121.833333333343</v>
      </c>
      <c r="I51" s="4">
        <v>46356</v>
      </c>
      <c r="J51" s="5">
        <v>373000</v>
      </c>
      <c r="M51" s="1" t="s">
        <v>25</v>
      </c>
      <c r="N51" s="1" t="s">
        <v>70</v>
      </c>
      <c r="O51" s="6">
        <f t="shared" si="1"/>
        <v>0</v>
      </c>
      <c r="P51" s="2">
        <v>46108.714189814818</v>
      </c>
      <c r="Q51" s="2">
        <v>46108.716631944437</v>
      </c>
      <c r="S51" s="1" t="s">
        <v>71</v>
      </c>
    </row>
    <row r="52" spans="1:19" ht="43.75" customHeight="1">
      <c r="A52" t="s">
        <v>284</v>
      </c>
      <c r="B52" s="1" t="s">
        <v>285</v>
      </c>
      <c r="C52" s="2">
        <v>46109.623437499999</v>
      </c>
      <c r="D52" s="1" t="s">
        <v>286</v>
      </c>
      <c r="E52" s="1" t="s">
        <v>22</v>
      </c>
      <c r="F52" s="3" t="s">
        <v>387</v>
      </c>
      <c r="G52" s="1" t="s">
        <v>287</v>
      </c>
      <c r="H52" s="4">
        <v>46072.791666666657</v>
      </c>
      <c r="I52" s="4">
        <v>46384</v>
      </c>
      <c r="J52" s="5">
        <v>407000</v>
      </c>
      <c r="L52" s="1" t="s">
        <v>24</v>
      </c>
      <c r="M52" s="1" t="s">
        <v>25</v>
      </c>
      <c r="N52" s="1" t="s">
        <v>64</v>
      </c>
      <c r="O52" s="6">
        <f t="shared" si="1"/>
        <v>10</v>
      </c>
      <c r="P52" s="2">
        <v>45692.433541666673</v>
      </c>
      <c r="Q52" s="2">
        <v>46109.456770833327</v>
      </c>
      <c r="S52" s="1" t="s">
        <v>76</v>
      </c>
    </row>
    <row r="53" spans="1:19" ht="160.30000000000001" customHeight="1">
      <c r="A53" t="s">
        <v>288</v>
      </c>
      <c r="B53" s="1" t="s">
        <v>289</v>
      </c>
      <c r="C53" s="2">
        <v>46109.620324074072</v>
      </c>
      <c r="D53" s="1" t="s">
        <v>290</v>
      </c>
      <c r="E53" s="1" t="s">
        <v>291</v>
      </c>
      <c r="F53" s="3" t="s">
        <v>388</v>
      </c>
      <c r="G53" s="1" t="s">
        <v>292</v>
      </c>
      <c r="H53" s="4">
        <v>46149.833333333343</v>
      </c>
      <c r="I53" s="4">
        <v>46384</v>
      </c>
      <c r="J53" s="5">
        <v>45200</v>
      </c>
      <c r="L53" s="1" t="s">
        <v>293</v>
      </c>
      <c r="M53" s="1" t="s">
        <v>25</v>
      </c>
      <c r="N53" s="1" t="s">
        <v>70</v>
      </c>
      <c r="O53" s="6">
        <f t="shared" si="1"/>
        <v>10</v>
      </c>
      <c r="P53" s="2">
        <v>45901.850393518522</v>
      </c>
      <c r="Q53" s="2">
        <v>46109.453657407408</v>
      </c>
      <c r="S53" s="1" t="s">
        <v>76</v>
      </c>
    </row>
    <row r="54" spans="1:19" ht="43.75" customHeight="1">
      <c r="A54" t="s">
        <v>294</v>
      </c>
      <c r="B54" s="1" t="s">
        <v>295</v>
      </c>
      <c r="C54" s="2">
        <v>46109.620671296303</v>
      </c>
      <c r="D54" s="1" t="s">
        <v>296</v>
      </c>
      <c r="E54" s="1" t="s">
        <v>22</v>
      </c>
      <c r="F54" s="3" t="s">
        <v>389</v>
      </c>
      <c r="G54" s="1" t="s">
        <v>297</v>
      </c>
      <c r="H54" s="4">
        <v>46208.833333333343</v>
      </c>
      <c r="I54" s="4">
        <v>46384</v>
      </c>
      <c r="J54" s="5">
        <v>222000</v>
      </c>
      <c r="L54" s="1" t="s">
        <v>58</v>
      </c>
      <c r="M54" s="1" t="s">
        <v>25</v>
      </c>
      <c r="N54" s="1" t="s">
        <v>81</v>
      </c>
      <c r="O54" s="6">
        <f t="shared" si="1"/>
        <v>40</v>
      </c>
      <c r="P54" s="2">
        <v>45929.851481481477</v>
      </c>
      <c r="Q54" s="2">
        <v>46109.454004629632</v>
      </c>
      <c r="S54" s="1" t="s">
        <v>53</v>
      </c>
    </row>
    <row r="55" spans="1:19">
      <c r="A55" t="s">
        <v>298</v>
      </c>
      <c r="B55" s="1" t="s">
        <v>299</v>
      </c>
      <c r="C55" s="2">
        <v>46109.630381944437</v>
      </c>
      <c r="D55" s="1" t="s">
        <v>300</v>
      </c>
      <c r="E55" s="1" t="s">
        <v>301</v>
      </c>
      <c r="F55" s="3" t="s">
        <v>348</v>
      </c>
      <c r="G55" s="1" t="s">
        <v>302</v>
      </c>
      <c r="H55" s="4">
        <v>46121.833333333343</v>
      </c>
      <c r="I55" s="4">
        <v>46384</v>
      </c>
      <c r="J55" s="5">
        <v>401000</v>
      </c>
      <c r="M55" s="1" t="s">
        <v>25</v>
      </c>
      <c r="N55" s="1" t="s">
        <v>70</v>
      </c>
      <c r="O55" s="6">
        <f t="shared" si="1"/>
        <v>10</v>
      </c>
      <c r="P55" s="2">
        <v>46109.460578703707</v>
      </c>
      <c r="Q55" s="2">
        <v>46109.46371527778</v>
      </c>
      <c r="S55" s="1" t="s">
        <v>76</v>
      </c>
    </row>
    <row r="56" spans="1:19">
      <c r="A56" t="s">
        <v>303</v>
      </c>
      <c r="B56" s="1" t="s">
        <v>304</v>
      </c>
      <c r="C56" s="2">
        <v>46109.612812500003</v>
      </c>
      <c r="D56" s="1" t="s">
        <v>305</v>
      </c>
      <c r="E56" s="1" t="s">
        <v>306</v>
      </c>
      <c r="F56" s="3" t="s">
        <v>348</v>
      </c>
      <c r="G56" s="1" t="s">
        <v>307</v>
      </c>
      <c r="H56" s="4">
        <v>46051.791666666657</v>
      </c>
      <c r="I56" s="4">
        <v>46384</v>
      </c>
      <c r="J56" s="5">
        <v>0</v>
      </c>
      <c r="L56" s="1" t="s">
        <v>308</v>
      </c>
      <c r="M56" s="1" t="s">
        <v>25</v>
      </c>
      <c r="N56" s="1" t="s">
        <v>70</v>
      </c>
      <c r="O56" s="6">
        <f t="shared" si="1"/>
        <v>0</v>
      </c>
      <c r="P56" s="2">
        <v>45891.455740740741</v>
      </c>
      <c r="Q56" s="2">
        <v>46109.446145833332</v>
      </c>
      <c r="S56" s="1" t="s">
        <v>71</v>
      </c>
    </row>
    <row r="57" spans="1:19">
      <c r="A57" t="s">
        <v>309</v>
      </c>
      <c r="B57" s="1" t="s">
        <v>310</v>
      </c>
      <c r="C57" s="2">
        <v>46109.613194444442</v>
      </c>
      <c r="D57" s="1" t="s">
        <v>311</v>
      </c>
      <c r="E57" s="1" t="s">
        <v>37</v>
      </c>
      <c r="F57" s="3" t="s">
        <v>390</v>
      </c>
      <c r="G57" s="1" t="s">
        <v>312</v>
      </c>
      <c r="H57" s="4">
        <v>46107.833333333343</v>
      </c>
      <c r="I57" s="4">
        <v>46384</v>
      </c>
      <c r="J57" s="5">
        <v>288000</v>
      </c>
      <c r="L57" s="1" t="s">
        <v>39</v>
      </c>
      <c r="M57" s="1" t="s">
        <v>25</v>
      </c>
      <c r="N57" s="1" t="s">
        <v>81</v>
      </c>
      <c r="O57" s="6">
        <f t="shared" si="1"/>
        <v>40</v>
      </c>
      <c r="P57" s="2">
        <v>46075.860810185193</v>
      </c>
      <c r="Q57" s="2">
        <v>46109.446527777778</v>
      </c>
      <c r="S57" s="1" t="s">
        <v>53</v>
      </c>
    </row>
    <row r="58" spans="1:19" ht="87.45" customHeight="1">
      <c r="A58" t="s">
        <v>313</v>
      </c>
      <c r="B58" s="1" t="s">
        <v>314</v>
      </c>
      <c r="C58" s="2">
        <v>46092.938900462963</v>
      </c>
      <c r="D58" s="1" t="s">
        <v>315</v>
      </c>
      <c r="E58" s="1" t="s">
        <v>22</v>
      </c>
      <c r="F58" s="3" t="s">
        <v>391</v>
      </c>
      <c r="G58" s="1" t="s">
        <v>316</v>
      </c>
      <c r="H58" s="4">
        <v>46100.833333333343</v>
      </c>
      <c r="I58" s="4">
        <v>46384</v>
      </c>
      <c r="J58" s="5">
        <v>85200</v>
      </c>
      <c r="L58" s="1" t="s">
        <v>58</v>
      </c>
      <c r="M58" s="1" t="s">
        <v>25</v>
      </c>
      <c r="N58" s="1" t="s">
        <v>81</v>
      </c>
      <c r="O58" s="6">
        <f t="shared" si="1"/>
        <v>40</v>
      </c>
      <c r="P58" s="2">
        <v>45692.419027777767</v>
      </c>
      <c r="Q58" s="2">
        <v>46092.772233796299</v>
      </c>
      <c r="S58" s="1" t="s">
        <v>53</v>
      </c>
    </row>
    <row r="59" spans="1:19" ht="189.45" customHeight="1">
      <c r="A59" t="s">
        <v>317</v>
      </c>
      <c r="B59" s="1" t="s">
        <v>318</v>
      </c>
      <c r="C59" s="2">
        <v>46109.615416666667</v>
      </c>
      <c r="D59" s="1" t="s">
        <v>319</v>
      </c>
      <c r="E59" s="1" t="s">
        <v>320</v>
      </c>
      <c r="F59" s="3" t="s">
        <v>392</v>
      </c>
      <c r="G59" s="1" t="s">
        <v>321</v>
      </c>
      <c r="H59" s="4">
        <v>46100.833333333343</v>
      </c>
      <c r="I59" s="4">
        <v>46384</v>
      </c>
      <c r="J59" s="5">
        <v>53900</v>
      </c>
      <c r="L59" s="1" t="s">
        <v>322</v>
      </c>
      <c r="M59" s="1" t="s">
        <v>25</v>
      </c>
      <c r="N59" s="1" t="s">
        <v>64</v>
      </c>
      <c r="O59" s="6">
        <f t="shared" si="1"/>
        <v>10</v>
      </c>
      <c r="P59" s="2">
        <v>45799.490914351853</v>
      </c>
      <c r="Q59" s="2">
        <v>46109.448750000003</v>
      </c>
      <c r="S59" s="1" t="s">
        <v>76</v>
      </c>
    </row>
    <row r="60" spans="1:19" ht="306" customHeight="1">
      <c r="A60" t="s">
        <v>323</v>
      </c>
      <c r="B60" s="1" t="s">
        <v>324</v>
      </c>
      <c r="C60" s="2">
        <v>46092.557858796303</v>
      </c>
      <c r="D60" s="1" t="s">
        <v>325</v>
      </c>
      <c r="E60" s="1" t="s">
        <v>37</v>
      </c>
      <c r="F60" s="3" t="s">
        <v>393</v>
      </c>
      <c r="G60" s="1" t="s">
        <v>326</v>
      </c>
      <c r="H60" s="4">
        <v>46425.791666666657</v>
      </c>
      <c r="I60" s="4">
        <v>46461</v>
      </c>
      <c r="J60" s="5">
        <v>65400</v>
      </c>
      <c r="L60" s="1" t="s">
        <v>39</v>
      </c>
      <c r="M60" s="1" t="s">
        <v>25</v>
      </c>
      <c r="N60" s="1" t="s">
        <v>70</v>
      </c>
      <c r="O60" s="6">
        <f t="shared" si="1"/>
        <v>0</v>
      </c>
      <c r="P60" s="2">
        <v>46064.471284722233</v>
      </c>
      <c r="Q60" s="2">
        <v>46092.391192129631</v>
      </c>
      <c r="S60" s="1" t="s">
        <v>71</v>
      </c>
    </row>
    <row r="61" spans="1:19">
      <c r="A61" t="s">
        <v>327</v>
      </c>
      <c r="B61" s="1" t="s">
        <v>328</v>
      </c>
      <c r="C61" s="2">
        <v>46109.611284722218</v>
      </c>
      <c r="D61" s="1" t="s">
        <v>329</v>
      </c>
      <c r="E61" s="1" t="s">
        <v>330</v>
      </c>
      <c r="F61" s="3" t="s">
        <v>348</v>
      </c>
      <c r="G61" s="1" t="s">
        <v>331</v>
      </c>
      <c r="H61" s="4">
        <v>46100.833333333343</v>
      </c>
      <c r="I61" s="4">
        <v>46475</v>
      </c>
      <c r="J61" s="5">
        <v>184000</v>
      </c>
      <c r="M61" s="1" t="s">
        <v>25</v>
      </c>
      <c r="N61" s="1" t="s">
        <v>70</v>
      </c>
      <c r="O61" s="6">
        <f t="shared" si="1"/>
        <v>0</v>
      </c>
      <c r="P61" s="2">
        <v>46097.565138888887</v>
      </c>
      <c r="Q61" s="2">
        <v>46109.444618055553</v>
      </c>
      <c r="S61" s="1" t="s">
        <v>71</v>
      </c>
    </row>
  </sheetData>
  <dataValidations count="13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type="textLength" operator="lessThanOrEqual" showInputMessage="1" showErrorMessage="1" errorTitle="Length Exceeded" error="This value must be less than or equal to 300 characters long." promptTitle="Text (required)" prompt="Maximum Length: 300 characters." sqref="D2:D1048576" xr:uid="{00000000-0002-0000-0000-000001000000}">
      <formula1>300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type="textLength" operator="lessThanOrEqual" allowBlank="1" showInputMessage="1" showErrorMessage="1" errorTitle="Length Exceeded" error="This value must be less than or equal to 2000 characters long." promptTitle="Text" prompt="Maximum Length: 2000 characters." sqref="F2:F3 F5:F1048576" xr:uid="{00000000-0002-0000-0000-000003000000}">
      <formula1>2000</formula1>
    </dataValidation>
    <dataValidation type="textLength" operator="lessThanOrEqual" allowBlank="1" showInputMessage="1" showErrorMessage="1" errorTitle="Length Exceeded" error="This value must be less than or equal to 10000 characters long." promptTitle="Text" prompt="Maximum Length: 10000 characters." sqref="G2:G1048576" xr:uid="{00000000-0002-0000-0000-000004000000}">
      <formula1>10000</formula1>
    </dataValidation>
    <dataValidation type="date" operator="greaterThanOrEqual" allowBlank="1" showInputMessage="1" showErrorMessage="1" errorTitle="Invalid Date" error="Next Step Due Date must be in the correct date format." promptTitle="Date" prompt=" " sqref="H2:H1048576" xr:uid="{00000000-0002-0000-0000-000005000000}">
      <formula1>1</formula1>
    </dataValidation>
    <dataValidation type="date" operator="greaterThanOrEqual" showInputMessage="1" showErrorMessage="1" errorTitle="Invalid Date" error="Est. close date must be in the correct date format." promptTitle="Date (required)" prompt=" " sqref="I2:I1048576" xr:uid="{00000000-0002-0000-0000-000006000000}">
      <formula1>1</formula1>
    </dataValidation>
    <dataValidation type="decimal" allowBlank="1" showInputMessage="1" showErrorMessage="1" errorTitle="Value beyond range" error="Est. revenue must be a number from -1000000000000 through 1000000000000." promptTitle="Decimal number" prompt="Minimum Value: -1000000000000._x000d__x000a_Maximum Value: 1000000000000._x000d__x000a_  " sqref="J2:J1048576" xr:uid="{00000000-0002-0000-0000-000007000000}">
      <formula1>-1000000000000</formula1>
      <formula2>1000000000000</formula2>
    </dataValidation>
    <dataValidation allowBlank="1" showInputMessage="1" showErrorMessage="1" error=" " promptTitle="Lookup" prompt="This Contact record must already exist in Microsoft Dynamics 365 or in this source file." sqref="L2:L1048576" xr:uid="{00000000-0002-0000-0000-000008000000}"/>
    <dataValidation type="decimal" allowBlank="1" showInputMessage="1" showErrorMessage="1" errorTitle="Value beyond range" error="Probability must be a whole number from 0 through 100." promptTitle="Whole number" prompt="Minimum Value: 0._x000d__x000a_Maximum Value: 100._x000d__x000a_  " sqref="O2:O1048576" xr:uid="{00000000-0002-0000-0000-000009000000}">
      <formula1>0</formula1>
      <formula2>100</formula2>
    </dataValidation>
    <dataValidation type="date" operator="greaterThanOrEqual" allowBlank="1" showInputMessage="1" showErrorMessage="1" errorTitle="Invalid Date" error="Created On must be in the correct date and time format." promptTitle="Date and time" prompt=" " sqref="P2:P1048576" xr:uid="{00000000-0002-0000-0000-00000A000000}">
      <formula1>1</formula1>
    </dataValidation>
    <dataValidation type="date" operator="greaterThanOrEqual" allowBlank="1" showInputMessage="1" showErrorMessage="1" errorTitle="Invalid Date" error="Modified On must be in the correct date and time format." promptTitle="Date and time" prompt=" " sqref="Q2:Q1048576" xr:uid="{00000000-0002-0000-0000-00000B000000}">
      <formula1>1</formula1>
    </dataValidation>
    <dataValidation allowBlank="1" showInputMessage="1" showErrorMessage="1" error=" " promptTitle="Lookup" prompt="This MSFT Workload Product record must already exist in Microsoft Dynamics 365 or in this source file." sqref="R2:R1048576" xr:uid="{00000000-0002-0000-0000-00000C000000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E5"/>
  <sheetViews>
    <sheetView workbookViewId="0"/>
  </sheetViews>
  <sheetFormatPr defaultRowHeight="14.6"/>
  <sheetData>
    <row r="1" spans="1:5">
      <c r="A1" t="s">
        <v>332</v>
      </c>
    </row>
    <row r="2" spans="1:5">
      <c r="A2" t="s">
        <v>333</v>
      </c>
      <c r="B2" t="s">
        <v>334</v>
      </c>
      <c r="C2" t="s">
        <v>335</v>
      </c>
      <c r="D2" t="s">
        <v>336</v>
      </c>
      <c r="E2" t="s">
        <v>337</v>
      </c>
    </row>
    <row r="3" spans="1:5">
      <c r="A3" t="s">
        <v>338</v>
      </c>
      <c r="B3" t="s">
        <v>25</v>
      </c>
      <c r="C3" t="s">
        <v>339</v>
      </c>
    </row>
    <row r="4" spans="1:5">
      <c r="A4" t="s">
        <v>70</v>
      </c>
      <c r="B4" t="s">
        <v>64</v>
      </c>
      <c r="C4" t="s">
        <v>81</v>
      </c>
      <c r="D4" t="s">
        <v>26</v>
      </c>
    </row>
    <row r="5" spans="1:5">
      <c r="A5" t="s">
        <v>71</v>
      </c>
      <c r="B5" t="s">
        <v>76</v>
      </c>
      <c r="C5" t="s">
        <v>53</v>
      </c>
      <c r="D5" t="s">
        <v>40</v>
      </c>
      <c r="E5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Hans FY27 Opp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Hans Westphal</cp:lastModifiedBy>
  <dcterms:created xsi:type="dcterms:W3CDTF">2026-03-28T22:12:46Z</dcterms:created>
  <dcterms:modified xsi:type="dcterms:W3CDTF">2026-03-29T22:20:24Z</dcterms:modified>
</cp:coreProperties>
</file>